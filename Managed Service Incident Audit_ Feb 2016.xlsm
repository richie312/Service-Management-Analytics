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Work_Operations_2016\"/>
    </mc:Choice>
  </mc:AlternateContent>
  <bookViews>
    <workbookView xWindow="0" yWindow="0" windowWidth="20490" windowHeight="6750" tabRatio="863" firstSheet="11" activeTab="14"/>
  </bookViews>
  <sheets>
    <sheet name="Incident Management Framework" sheetId="13" state="hidden" r:id="rId1"/>
    <sheet name="Inc Upgrade Downgrade Acc" sheetId="28" state="hidden" r:id="rId2"/>
    <sheet name="Unix Server Support" sheetId="2" state="hidden" r:id="rId3"/>
    <sheet name="Information Security Support" sheetId="4" state="hidden" r:id="rId4"/>
    <sheet name="Enterprise Messaging" sheetId="5" state="hidden" r:id="rId5"/>
    <sheet name="Wintel Server Support" sheetId="14" state="hidden" r:id="rId6"/>
    <sheet name="Monitoring" sheetId="15" state="hidden" r:id="rId7"/>
    <sheet name="Network Device Support" sheetId="16" state="hidden" r:id="rId8"/>
    <sheet name="Storage &amp; BackUp" sheetId="17" state="hidden" r:id="rId9"/>
    <sheet name="Database Administration Server" sheetId="18" state="hidden" r:id="rId10"/>
    <sheet name="Service Desk" sheetId="19" state="hidden" r:id="rId11"/>
    <sheet name="Dashboard" sheetId="30" r:id="rId12"/>
    <sheet name="Observation" sheetId="26" state="hidden" r:id="rId13"/>
    <sheet name="EngineersPool" sheetId="32" state="hidden" r:id="rId14"/>
    <sheet name="DataEntry" sheetId="31" r:id="rId15"/>
  </sheets>
  <externalReferences>
    <externalReference r:id="rId16"/>
  </externalReferences>
  <definedNames>
    <definedName name="_xlnm._FilterDatabase" localSheetId="11" hidden="1">Dashboard!$B$52:$E$76</definedName>
    <definedName name="_xlnm._FilterDatabase" localSheetId="1" hidden="1">'Inc Upgrade Downgrade Acc'!$A$28:$L$779</definedName>
    <definedName name="_xlnm.Print_Titles" localSheetId="1">'Service Desk'!$L$2</definedName>
  </definedNames>
  <calcPr calcId="152511"/>
  <pivotCaches>
    <pivotCache cacheId="1" r:id="rId17"/>
  </pivotCaches>
</workbook>
</file>

<file path=xl/calcChain.xml><?xml version="1.0" encoding="utf-8"?>
<calcChain xmlns="http://schemas.openxmlformats.org/spreadsheetml/2006/main">
  <c r="H10" i="30" l="1"/>
  <c r="B50" i="30"/>
  <c r="C19" i="30" l="1"/>
  <c r="C20" i="30"/>
  <c r="C21" i="30"/>
  <c r="C22" i="30"/>
  <c r="C23" i="30"/>
  <c r="C24" i="30"/>
  <c r="C25" i="30"/>
  <c r="C26" i="30"/>
  <c r="C27" i="30"/>
  <c r="G8" i="30"/>
  <c r="H8" i="30"/>
  <c r="I8" i="30"/>
  <c r="G9" i="30"/>
  <c r="H9" i="30"/>
  <c r="I9" i="30"/>
  <c r="G11" i="30"/>
  <c r="H11" i="30"/>
  <c r="I11" i="30"/>
  <c r="G10" i="30"/>
  <c r="I10" i="30"/>
  <c r="G14" i="30"/>
  <c r="H14" i="30"/>
  <c r="I14" i="30"/>
  <c r="G13" i="30"/>
  <c r="H13" i="30"/>
  <c r="I13" i="30"/>
  <c r="G15" i="30"/>
  <c r="H15" i="30"/>
  <c r="I15" i="30"/>
  <c r="G16" i="30"/>
  <c r="H16" i="30"/>
  <c r="I16" i="30"/>
  <c r="G12" i="30"/>
  <c r="H12" i="30"/>
  <c r="I12" i="30"/>
  <c r="D27" i="30"/>
  <c r="D21" i="30"/>
  <c r="D23" i="30"/>
  <c r="D20" i="30"/>
  <c r="D25" i="30"/>
  <c r="D22" i="30"/>
  <c r="D26" i="30"/>
  <c r="D24" i="30"/>
  <c r="D19" i="30"/>
  <c r="H17" i="30" l="1"/>
  <c r="I17" i="30"/>
  <c r="G17" i="30"/>
  <c r="H23" i="30"/>
  <c r="J29" i="30" l="1"/>
  <c r="J28" i="30"/>
  <c r="J27" i="30"/>
  <c r="J25" i="30"/>
  <c r="J23" i="30"/>
  <c r="J22" i="30"/>
  <c r="J21" i="30"/>
  <c r="H29" i="30"/>
  <c r="H28" i="30"/>
  <c r="H27" i="30"/>
  <c r="H26" i="30"/>
  <c r="H25" i="30"/>
  <c r="H24" i="30"/>
  <c r="H22" i="30"/>
  <c r="H21" i="30"/>
  <c r="I29" i="30"/>
  <c r="I28" i="30"/>
  <c r="I27" i="30"/>
  <c r="J26" i="30"/>
  <c r="I26" i="30"/>
  <c r="I25" i="30"/>
  <c r="J24" i="30"/>
  <c r="I24" i="30"/>
  <c r="I23" i="30"/>
  <c r="I22" i="30"/>
  <c r="I21" i="30"/>
  <c r="G29" i="30"/>
  <c r="G27" i="30"/>
  <c r="G26" i="30"/>
  <c r="G25" i="30"/>
  <c r="G24" i="30"/>
  <c r="G23" i="30"/>
  <c r="G22" i="30"/>
  <c r="G21" i="30"/>
  <c r="G28" i="30"/>
  <c r="C4" i="28" l="1"/>
  <c r="B9" i="28"/>
  <c r="B10" i="28"/>
  <c r="B11" i="28"/>
  <c r="B12" i="28"/>
  <c r="N29" i="28"/>
  <c r="O29" i="28"/>
  <c r="N30" i="28"/>
  <c r="O30" i="28"/>
  <c r="N31" i="28"/>
  <c r="O31" i="28"/>
  <c r="N32" i="28"/>
  <c r="O32" i="28"/>
  <c r="N33" i="28"/>
  <c r="O33" i="28"/>
  <c r="N34" i="28"/>
  <c r="O34" i="28"/>
  <c r="N35" i="28"/>
  <c r="O35" i="28"/>
  <c r="N36" i="28"/>
  <c r="O36" i="28"/>
  <c r="N37" i="28"/>
  <c r="O37" i="28"/>
  <c r="N38" i="28"/>
  <c r="O38" i="28"/>
  <c r="N39" i="28"/>
  <c r="O39" i="28"/>
  <c r="N40" i="28"/>
  <c r="O40" i="28"/>
  <c r="N41" i="28"/>
  <c r="O41" i="28"/>
  <c r="N42" i="28"/>
  <c r="O42" i="28"/>
  <c r="N43" i="28"/>
  <c r="O43" i="28"/>
  <c r="N44" i="28"/>
  <c r="O44" i="28"/>
  <c r="N45" i="28"/>
  <c r="O45" i="28"/>
  <c r="N46" i="28"/>
  <c r="O46" i="28"/>
  <c r="N47" i="28"/>
  <c r="O47" i="28"/>
  <c r="N48" i="28"/>
  <c r="O48" i="28"/>
  <c r="N49" i="28"/>
  <c r="O49" i="28"/>
  <c r="N50" i="28"/>
  <c r="O50" i="28"/>
  <c r="N51" i="28"/>
  <c r="O51" i="28"/>
  <c r="N52" i="28"/>
  <c r="O52" i="28"/>
  <c r="N53" i="28"/>
  <c r="O53" i="28"/>
  <c r="N54" i="28"/>
  <c r="O54" i="28"/>
  <c r="N55" i="28"/>
  <c r="O55" i="28"/>
  <c r="N56" i="28"/>
  <c r="O56" i="28"/>
  <c r="N57" i="28"/>
  <c r="O57" i="28"/>
  <c r="N58" i="28"/>
  <c r="O58" i="28"/>
  <c r="N59" i="28"/>
  <c r="O59" i="28"/>
  <c r="N60" i="28"/>
  <c r="O60" i="28"/>
  <c r="N61" i="28"/>
  <c r="O61" i="28"/>
  <c r="N62" i="28"/>
  <c r="O62" i="28"/>
  <c r="N63" i="28"/>
  <c r="O63" i="28"/>
  <c r="N64" i="28"/>
  <c r="O64" i="28"/>
  <c r="N65" i="28"/>
  <c r="O65" i="28"/>
  <c r="N66" i="28"/>
  <c r="O66" i="28"/>
  <c r="N67" i="28"/>
  <c r="O67" i="28"/>
  <c r="N68" i="28"/>
  <c r="O68" i="28"/>
  <c r="N69" i="28"/>
  <c r="O69" i="28"/>
  <c r="N70" i="28"/>
  <c r="O70" i="28"/>
  <c r="N71" i="28"/>
  <c r="O71" i="28"/>
  <c r="N72" i="28"/>
  <c r="O72" i="28"/>
  <c r="N73" i="28"/>
  <c r="O73" i="28"/>
  <c r="N74" i="28"/>
  <c r="O74" i="28"/>
  <c r="N75" i="28"/>
  <c r="O75" i="28"/>
  <c r="N76" i="28"/>
  <c r="O76" i="28"/>
  <c r="N77" i="28"/>
  <c r="O77" i="28"/>
  <c r="N78" i="28"/>
  <c r="O78" i="28"/>
  <c r="N79" i="28"/>
  <c r="O79" i="28"/>
  <c r="N80" i="28"/>
  <c r="O80" i="28"/>
  <c r="N81" i="28"/>
  <c r="O81" i="28"/>
  <c r="N82" i="28"/>
  <c r="O82" i="28"/>
  <c r="N83" i="28"/>
  <c r="O83" i="28"/>
  <c r="N84" i="28"/>
  <c r="O84" i="28"/>
  <c r="N85" i="28"/>
  <c r="O85" i="28"/>
  <c r="N86" i="28"/>
  <c r="O86" i="28"/>
  <c r="N87" i="28"/>
  <c r="O87" i="28"/>
  <c r="N88" i="28"/>
  <c r="O88" i="28"/>
  <c r="N89" i="28"/>
  <c r="O89" i="28"/>
  <c r="N90" i="28"/>
  <c r="O90" i="28"/>
  <c r="N91" i="28"/>
  <c r="O91" i="28"/>
  <c r="N92" i="28"/>
  <c r="O92" i="28"/>
  <c r="N93" i="28"/>
  <c r="O93" i="28"/>
  <c r="N94" i="28"/>
  <c r="O94" i="28"/>
  <c r="N95" i="28"/>
  <c r="O95" i="28"/>
  <c r="N96" i="28"/>
  <c r="O96" i="28"/>
  <c r="N97" i="28"/>
  <c r="O97" i="28"/>
  <c r="N98" i="28"/>
  <c r="O98" i="28"/>
  <c r="N99" i="28"/>
  <c r="O99" i="28"/>
  <c r="N100" i="28"/>
  <c r="O100" i="28"/>
  <c r="N101" i="28"/>
  <c r="O101" i="28"/>
  <c r="N102" i="28"/>
  <c r="O102" i="28"/>
  <c r="N103" i="28"/>
  <c r="O103" i="28"/>
  <c r="N104" i="28"/>
  <c r="O104" i="28"/>
  <c r="N105" i="28"/>
  <c r="O105" i="28"/>
  <c r="N106" i="28"/>
  <c r="O106" i="28"/>
  <c r="N107" i="28"/>
  <c r="O107" i="28"/>
  <c r="N108" i="28"/>
  <c r="O108" i="28"/>
  <c r="N109" i="28"/>
  <c r="O109" i="28"/>
  <c r="N110" i="28"/>
  <c r="O110" i="28"/>
  <c r="N111" i="28"/>
  <c r="O111" i="28"/>
  <c r="N112" i="28"/>
  <c r="O112" i="28"/>
  <c r="N113" i="28"/>
  <c r="O113" i="28"/>
  <c r="N114" i="28"/>
  <c r="O114" i="28"/>
  <c r="N115" i="28"/>
  <c r="O115" i="28"/>
  <c r="N116" i="28"/>
  <c r="O116" i="28"/>
  <c r="N117" i="28"/>
  <c r="O117" i="28"/>
  <c r="N118" i="28"/>
  <c r="O118" i="28"/>
  <c r="N119" i="28"/>
  <c r="O119" i="28"/>
  <c r="N120" i="28"/>
  <c r="O120" i="28"/>
  <c r="N121" i="28"/>
  <c r="O121" i="28"/>
  <c r="N122" i="28"/>
  <c r="O122" i="28"/>
  <c r="N123" i="28"/>
  <c r="O123" i="28"/>
  <c r="N124" i="28"/>
  <c r="O124" i="28"/>
  <c r="N125" i="28"/>
  <c r="O125" i="28"/>
  <c r="N126" i="28"/>
  <c r="O126" i="28"/>
  <c r="N127" i="28"/>
  <c r="O127" i="28"/>
  <c r="N128" i="28"/>
  <c r="O128" i="28"/>
  <c r="N129" i="28"/>
  <c r="O129" i="28"/>
  <c r="N130" i="28"/>
  <c r="O130" i="28"/>
  <c r="N131" i="28"/>
  <c r="O131" i="28"/>
  <c r="N132" i="28"/>
  <c r="O132" i="28"/>
  <c r="N133" i="28"/>
  <c r="O133" i="28"/>
  <c r="N134" i="28"/>
  <c r="O134" i="28"/>
  <c r="N135" i="28"/>
  <c r="O135" i="28"/>
  <c r="N136" i="28"/>
  <c r="O136" i="28"/>
  <c r="N137" i="28"/>
  <c r="O137" i="28"/>
  <c r="N138" i="28"/>
  <c r="O138" i="28"/>
  <c r="N139" i="28"/>
  <c r="O139" i="28"/>
  <c r="N140" i="28"/>
  <c r="O140" i="28"/>
  <c r="N141" i="28"/>
  <c r="O141" i="28"/>
  <c r="N142" i="28"/>
  <c r="O142" i="28"/>
  <c r="N143" i="28"/>
  <c r="O143" i="28"/>
  <c r="N144" i="28"/>
  <c r="O144" i="28"/>
  <c r="N145" i="28"/>
  <c r="O145" i="28"/>
  <c r="N146" i="28"/>
  <c r="O146" i="28"/>
  <c r="N147" i="28"/>
  <c r="O147" i="28"/>
  <c r="N148" i="28"/>
  <c r="O148" i="28"/>
  <c r="N149" i="28"/>
  <c r="O149" i="28"/>
  <c r="N150" i="28"/>
  <c r="O150" i="28"/>
  <c r="N151" i="28"/>
  <c r="O151" i="28"/>
  <c r="N152" i="28"/>
  <c r="O152" i="28"/>
  <c r="N153" i="28"/>
  <c r="O153" i="28"/>
  <c r="N154" i="28"/>
  <c r="O154" i="28"/>
  <c r="N155" i="28"/>
  <c r="O155" i="28"/>
  <c r="N156" i="28"/>
  <c r="O156" i="28"/>
  <c r="N157" i="28"/>
  <c r="O157" i="28"/>
  <c r="N158" i="28"/>
  <c r="O158" i="28"/>
  <c r="N159" i="28"/>
  <c r="O159" i="28"/>
  <c r="N160" i="28"/>
  <c r="O160" i="28"/>
  <c r="N161" i="28"/>
  <c r="O161" i="28"/>
  <c r="N162" i="28"/>
  <c r="O162" i="28"/>
  <c r="N163" i="28"/>
  <c r="O163" i="28"/>
  <c r="N164" i="28"/>
  <c r="O164" i="28"/>
  <c r="N165" i="28"/>
  <c r="O165" i="28"/>
  <c r="N166" i="28"/>
  <c r="O166" i="28"/>
  <c r="N167" i="28"/>
  <c r="O167" i="28"/>
  <c r="N168" i="28"/>
  <c r="O168" i="28"/>
  <c r="N169" i="28"/>
  <c r="O169" i="28"/>
  <c r="N170" i="28"/>
  <c r="O170" i="28"/>
  <c r="N171" i="28"/>
  <c r="O171" i="28"/>
  <c r="N172" i="28"/>
  <c r="O172" i="28"/>
  <c r="N173" i="28"/>
  <c r="O173" i="28"/>
  <c r="N174" i="28"/>
  <c r="O174" i="28"/>
  <c r="N175" i="28"/>
  <c r="O175" i="28"/>
  <c r="N176" i="28"/>
  <c r="O176" i="28"/>
  <c r="N177" i="28"/>
  <c r="O177" i="28"/>
  <c r="N178" i="28"/>
  <c r="O178" i="28"/>
  <c r="N179" i="28"/>
  <c r="O179" i="28"/>
  <c r="N180" i="28"/>
  <c r="O180" i="28"/>
  <c r="N181" i="28"/>
  <c r="O181" i="28"/>
  <c r="N182" i="28"/>
  <c r="O182" i="28"/>
  <c r="N183" i="28"/>
  <c r="O183" i="28"/>
  <c r="N184" i="28"/>
  <c r="O184" i="28"/>
  <c r="N185" i="28"/>
  <c r="O185" i="28"/>
  <c r="N186" i="28"/>
  <c r="O186" i="28"/>
  <c r="N187" i="28"/>
  <c r="O187" i="28"/>
  <c r="N188" i="28"/>
  <c r="O188" i="28"/>
  <c r="N189" i="28"/>
  <c r="O189" i="28"/>
  <c r="N190" i="28"/>
  <c r="O190" i="28"/>
  <c r="N191" i="28"/>
  <c r="O191" i="28"/>
  <c r="N192" i="28"/>
  <c r="O192" i="28"/>
  <c r="N193" i="28"/>
  <c r="O193" i="28"/>
  <c r="N194" i="28"/>
  <c r="O194" i="28"/>
  <c r="N195" i="28"/>
  <c r="O195" i="28"/>
  <c r="N196" i="28"/>
  <c r="O196" i="28"/>
  <c r="N197" i="28"/>
  <c r="O197" i="28"/>
  <c r="N198" i="28"/>
  <c r="O198" i="28"/>
  <c r="N199" i="28"/>
  <c r="O199" i="28"/>
  <c r="N200" i="28"/>
  <c r="O200" i="28"/>
  <c r="N201" i="28"/>
  <c r="O201" i="28"/>
  <c r="N202" i="28"/>
  <c r="O202" i="28"/>
  <c r="N203" i="28"/>
  <c r="O203" i="28"/>
  <c r="N204" i="28"/>
  <c r="O204" i="28"/>
  <c r="N205" i="28"/>
  <c r="O205" i="28"/>
  <c r="N206" i="28"/>
  <c r="O206" i="28"/>
  <c r="N207" i="28"/>
  <c r="O207" i="28"/>
  <c r="N208" i="28"/>
  <c r="O208" i="28"/>
  <c r="N209" i="28"/>
  <c r="O209" i="28"/>
  <c r="N210" i="28"/>
  <c r="O210" i="28"/>
  <c r="N211" i="28"/>
  <c r="O211" i="28"/>
  <c r="N212" i="28"/>
  <c r="O212" i="28"/>
  <c r="N213" i="28"/>
  <c r="O213" i="28"/>
  <c r="N214" i="28"/>
  <c r="O214" i="28"/>
  <c r="N215" i="28"/>
  <c r="O215" i="28"/>
  <c r="N216" i="28"/>
  <c r="O216" i="28"/>
  <c r="N217" i="28"/>
  <c r="O217" i="28"/>
  <c r="N218" i="28"/>
  <c r="O218" i="28"/>
  <c r="N219" i="28"/>
  <c r="O219" i="28"/>
  <c r="N220" i="28"/>
  <c r="O220" i="28"/>
  <c r="N221" i="28"/>
  <c r="O221" i="28"/>
  <c r="N222" i="28"/>
  <c r="O222" i="28"/>
  <c r="N223" i="28"/>
  <c r="O223" i="28"/>
  <c r="N224" i="28"/>
  <c r="O224" i="28"/>
  <c r="N225" i="28"/>
  <c r="O225" i="28"/>
  <c r="N226" i="28"/>
  <c r="O226" i="28"/>
  <c r="N227" i="28"/>
  <c r="O227" i="28"/>
  <c r="N228" i="28"/>
  <c r="O228" i="28"/>
  <c r="N229" i="28"/>
  <c r="O229" i="28"/>
  <c r="N230" i="28"/>
  <c r="O230" i="28"/>
  <c r="N231" i="28"/>
  <c r="O231" i="28"/>
  <c r="N232" i="28"/>
  <c r="O232" i="28"/>
  <c r="N233" i="28"/>
  <c r="O233" i="28"/>
  <c r="N234" i="28"/>
  <c r="O234" i="28"/>
  <c r="N235" i="28"/>
  <c r="O235" i="28"/>
  <c r="N236" i="28"/>
  <c r="O236" i="28"/>
  <c r="N237" i="28"/>
  <c r="O237" i="28"/>
  <c r="N238" i="28"/>
  <c r="O238" i="28"/>
  <c r="N239" i="28"/>
  <c r="O239" i="28"/>
  <c r="N240" i="28"/>
  <c r="O240" i="28"/>
  <c r="N241" i="28"/>
  <c r="O241" i="28"/>
  <c r="N242" i="28"/>
  <c r="O242" i="28"/>
  <c r="N243" i="28"/>
  <c r="O243" i="28"/>
  <c r="N244" i="28"/>
  <c r="O244" i="28"/>
  <c r="N245" i="28"/>
  <c r="O245" i="28"/>
  <c r="N246" i="28"/>
  <c r="O246" i="28"/>
  <c r="N247" i="28"/>
  <c r="O247" i="28"/>
  <c r="N248" i="28"/>
  <c r="O248" i="28"/>
  <c r="N249" i="28"/>
  <c r="O249" i="28"/>
  <c r="N250" i="28"/>
  <c r="O250" i="28"/>
  <c r="N251" i="28"/>
  <c r="O251" i="28"/>
  <c r="N252" i="28"/>
  <c r="O252" i="28"/>
  <c r="N253" i="28"/>
  <c r="O253" i="28"/>
  <c r="N254" i="28"/>
  <c r="O254" i="28"/>
  <c r="N255" i="28"/>
  <c r="O255" i="28"/>
  <c r="N256" i="28"/>
  <c r="O256" i="28"/>
  <c r="N257" i="28"/>
  <c r="O257" i="28"/>
  <c r="N258" i="28"/>
  <c r="O258" i="28"/>
  <c r="N259" i="28"/>
  <c r="O259" i="28"/>
  <c r="N260" i="28"/>
  <c r="O260" i="28"/>
  <c r="N261" i="28"/>
  <c r="O261" i="28"/>
  <c r="N262" i="28"/>
  <c r="O262" i="28"/>
  <c r="N263" i="28"/>
  <c r="O263" i="28"/>
  <c r="N264" i="28"/>
  <c r="O264" i="28"/>
  <c r="N265" i="28"/>
  <c r="O265" i="28"/>
  <c r="N266" i="28"/>
  <c r="O266" i="28"/>
  <c r="N267" i="28"/>
  <c r="O267" i="28"/>
  <c r="N268" i="28"/>
  <c r="O268" i="28"/>
  <c r="N269" i="28"/>
  <c r="O269" i="28"/>
  <c r="N270" i="28"/>
  <c r="O270" i="28"/>
  <c r="N271" i="28"/>
  <c r="O271" i="28"/>
  <c r="N272" i="28"/>
  <c r="O272" i="28"/>
  <c r="N273" i="28"/>
  <c r="O273" i="28"/>
  <c r="N274" i="28"/>
  <c r="O274" i="28"/>
  <c r="N275" i="28"/>
  <c r="O275" i="28"/>
  <c r="N276" i="28"/>
  <c r="O276" i="28"/>
  <c r="N277" i="28"/>
  <c r="O277" i="28"/>
  <c r="N278" i="28"/>
  <c r="O278" i="28"/>
  <c r="N279" i="28"/>
  <c r="O279" i="28"/>
  <c r="N280" i="28"/>
  <c r="O280" i="28"/>
  <c r="N281" i="28"/>
  <c r="O281" i="28"/>
  <c r="N282" i="28"/>
  <c r="O282" i="28"/>
  <c r="N283" i="28"/>
  <c r="O283" i="28"/>
  <c r="N284" i="28"/>
  <c r="O284" i="28"/>
  <c r="N285" i="28"/>
  <c r="O285" i="28"/>
  <c r="N286" i="28"/>
  <c r="O286" i="28"/>
  <c r="N287" i="28"/>
  <c r="O287" i="28"/>
  <c r="N288" i="28"/>
  <c r="O288" i="28"/>
  <c r="N289" i="28"/>
  <c r="O289" i="28"/>
  <c r="N290" i="28"/>
  <c r="O290" i="28"/>
  <c r="N291" i="28"/>
  <c r="O291" i="28"/>
  <c r="N292" i="28"/>
  <c r="O292" i="28"/>
  <c r="N293" i="28"/>
  <c r="O293" i="28"/>
  <c r="N294" i="28"/>
  <c r="O294" i="28"/>
  <c r="N295" i="28"/>
  <c r="O295" i="28"/>
  <c r="N296" i="28"/>
  <c r="O296" i="28"/>
  <c r="N297" i="28"/>
  <c r="O297" i="28"/>
  <c r="N298" i="28"/>
  <c r="O298" i="28"/>
  <c r="N299" i="28"/>
  <c r="O299" i="28"/>
  <c r="N300" i="28"/>
  <c r="O300" i="28"/>
  <c r="N301" i="28"/>
  <c r="O301" i="28"/>
  <c r="N302" i="28"/>
  <c r="O302" i="28"/>
  <c r="N303" i="28"/>
  <c r="O303" i="28"/>
  <c r="N304" i="28"/>
  <c r="O304" i="28"/>
  <c r="N305" i="28"/>
  <c r="O305" i="28"/>
  <c r="N306" i="28"/>
  <c r="O306" i="28"/>
  <c r="N307" i="28"/>
  <c r="O307" i="28"/>
  <c r="N308" i="28"/>
  <c r="O308" i="28"/>
  <c r="N309" i="28"/>
  <c r="O309" i="28"/>
  <c r="N310" i="28"/>
  <c r="O310" i="28"/>
  <c r="N311" i="28"/>
  <c r="O311" i="28"/>
  <c r="N312" i="28"/>
  <c r="O312" i="28"/>
  <c r="N313" i="28"/>
  <c r="O313" i="28"/>
  <c r="N314" i="28"/>
  <c r="O314" i="28"/>
  <c r="N315" i="28"/>
  <c r="O315" i="28"/>
  <c r="N316" i="28"/>
  <c r="O316" i="28"/>
  <c r="N317" i="28"/>
  <c r="O317" i="28"/>
  <c r="N318" i="28"/>
  <c r="O318" i="28"/>
  <c r="N319" i="28"/>
  <c r="O319" i="28"/>
  <c r="N320" i="28"/>
  <c r="O320" i="28"/>
  <c r="N321" i="28"/>
  <c r="O321" i="28"/>
  <c r="N322" i="28"/>
  <c r="O322" i="28"/>
  <c r="N323" i="28"/>
  <c r="O323" i="28"/>
  <c r="N324" i="28"/>
  <c r="O324" i="28"/>
  <c r="N325" i="28"/>
  <c r="O325" i="28"/>
  <c r="N326" i="28"/>
  <c r="O326" i="28"/>
  <c r="N327" i="28"/>
  <c r="O327" i="28"/>
  <c r="N328" i="28"/>
  <c r="O328" i="28"/>
  <c r="N329" i="28"/>
  <c r="O329" i="28"/>
  <c r="N330" i="28"/>
  <c r="O330" i="28"/>
  <c r="N331" i="28"/>
  <c r="O331" i="28"/>
  <c r="N332" i="28"/>
  <c r="O332" i="28"/>
  <c r="N333" i="28"/>
  <c r="O333" i="28"/>
  <c r="N334" i="28"/>
  <c r="O334" i="28"/>
  <c r="N335" i="28"/>
  <c r="O335" i="28"/>
  <c r="N336" i="28"/>
  <c r="O336" i="28"/>
  <c r="N337" i="28"/>
  <c r="O337" i="28"/>
  <c r="N338" i="28"/>
  <c r="O338" i="28"/>
  <c r="N339" i="28"/>
  <c r="O339" i="28"/>
  <c r="N340" i="28"/>
  <c r="O340" i="28"/>
  <c r="N341" i="28"/>
  <c r="O341" i="28"/>
  <c r="N342" i="28"/>
  <c r="O342" i="28"/>
  <c r="N343" i="28"/>
  <c r="O343" i="28"/>
  <c r="N344" i="28"/>
  <c r="O344" i="28"/>
  <c r="N345" i="28"/>
  <c r="O345" i="28"/>
  <c r="N346" i="28"/>
  <c r="O346" i="28"/>
  <c r="N347" i="28"/>
  <c r="O347" i="28"/>
  <c r="N348" i="28"/>
  <c r="O348" i="28"/>
  <c r="N349" i="28"/>
  <c r="O349" i="28"/>
  <c r="N350" i="28"/>
  <c r="O350" i="28"/>
  <c r="N351" i="28"/>
  <c r="O351" i="28"/>
  <c r="N352" i="28"/>
  <c r="O352" i="28"/>
  <c r="N353" i="28"/>
  <c r="O353" i="28"/>
  <c r="N354" i="28"/>
  <c r="O354" i="28"/>
  <c r="N355" i="28"/>
  <c r="O355" i="28"/>
  <c r="N356" i="28"/>
  <c r="O356" i="28"/>
  <c r="N357" i="28"/>
  <c r="O357" i="28"/>
  <c r="N358" i="28"/>
  <c r="O358" i="28"/>
  <c r="N359" i="28"/>
  <c r="O359" i="28"/>
  <c r="N360" i="28"/>
  <c r="O360" i="28"/>
  <c r="N361" i="28"/>
  <c r="O361" i="28"/>
  <c r="N362" i="28"/>
  <c r="O362" i="28"/>
  <c r="N363" i="28"/>
  <c r="O363" i="28"/>
  <c r="N364" i="28"/>
  <c r="O364" i="28"/>
  <c r="N365" i="28"/>
  <c r="O365" i="28"/>
  <c r="N366" i="28"/>
  <c r="O366" i="28"/>
  <c r="N367" i="28"/>
  <c r="O367" i="28"/>
  <c r="N368" i="28"/>
  <c r="O368" i="28"/>
  <c r="N369" i="28"/>
  <c r="O369" i="28"/>
  <c r="N370" i="28"/>
  <c r="O370" i="28"/>
  <c r="N371" i="28"/>
  <c r="O371" i="28"/>
  <c r="N372" i="28"/>
  <c r="O372" i="28"/>
  <c r="N373" i="28"/>
  <c r="O373" i="28"/>
  <c r="N374" i="28"/>
  <c r="O374" i="28"/>
  <c r="N375" i="28"/>
  <c r="O375" i="28"/>
  <c r="N376" i="28"/>
  <c r="O376" i="28"/>
  <c r="N377" i="28"/>
  <c r="O377" i="28"/>
  <c r="N378" i="28"/>
  <c r="O378" i="28"/>
  <c r="N379" i="28"/>
  <c r="O379" i="28"/>
  <c r="N380" i="28"/>
  <c r="O380" i="28"/>
  <c r="N381" i="28"/>
  <c r="O381" i="28"/>
  <c r="N382" i="28"/>
  <c r="O382" i="28"/>
  <c r="N383" i="28"/>
  <c r="O383" i="28"/>
  <c r="N384" i="28"/>
  <c r="O384" i="28"/>
  <c r="N385" i="28"/>
  <c r="O385" i="28"/>
  <c r="N386" i="28"/>
  <c r="O386" i="28"/>
  <c r="N387" i="28"/>
  <c r="O387" i="28"/>
  <c r="N388" i="28"/>
  <c r="O388" i="28"/>
  <c r="N389" i="28"/>
  <c r="O389" i="28"/>
  <c r="N390" i="28"/>
  <c r="O390" i="28"/>
  <c r="N391" i="28"/>
  <c r="O391" i="28"/>
  <c r="N392" i="28"/>
  <c r="O392" i="28"/>
  <c r="N393" i="28"/>
  <c r="O393" i="28"/>
  <c r="N394" i="28"/>
  <c r="O394" i="28"/>
  <c r="N395" i="28"/>
  <c r="O395" i="28"/>
  <c r="N396" i="28"/>
  <c r="O396" i="28"/>
  <c r="N397" i="28"/>
  <c r="O397" i="28"/>
  <c r="N398" i="28"/>
  <c r="O398" i="28"/>
  <c r="N399" i="28"/>
  <c r="O399" i="28"/>
  <c r="N400" i="28"/>
  <c r="O400" i="28"/>
  <c r="N401" i="28"/>
  <c r="O401" i="28"/>
  <c r="N402" i="28"/>
  <c r="O402" i="28"/>
  <c r="N403" i="28"/>
  <c r="O403" i="28"/>
  <c r="N404" i="28"/>
  <c r="O404" i="28"/>
  <c r="N405" i="28"/>
  <c r="O405" i="28"/>
  <c r="N406" i="28"/>
  <c r="O406" i="28"/>
  <c r="N407" i="28"/>
  <c r="O407" i="28"/>
  <c r="N408" i="28"/>
  <c r="O408" i="28"/>
  <c r="N409" i="28"/>
  <c r="O409" i="28"/>
  <c r="N410" i="28"/>
  <c r="O410" i="28"/>
  <c r="N411" i="28"/>
  <c r="O411" i="28"/>
  <c r="N412" i="28"/>
  <c r="O412" i="28"/>
  <c r="N413" i="28"/>
  <c r="O413" i="28"/>
  <c r="N414" i="28"/>
  <c r="O414" i="28"/>
  <c r="N415" i="28"/>
  <c r="O415" i="28"/>
  <c r="N416" i="28"/>
  <c r="O416" i="28"/>
  <c r="N417" i="28"/>
  <c r="O417" i="28"/>
  <c r="N418" i="28"/>
  <c r="O418" i="28"/>
  <c r="N419" i="28"/>
  <c r="O419" i="28"/>
  <c r="N420" i="28"/>
  <c r="O420" i="28"/>
  <c r="N421" i="28"/>
  <c r="O421" i="28"/>
  <c r="N422" i="28"/>
  <c r="O422" i="28"/>
  <c r="N423" i="28"/>
  <c r="O423" i="28"/>
  <c r="N424" i="28"/>
  <c r="O424" i="28"/>
  <c r="N425" i="28"/>
  <c r="O425" i="28"/>
  <c r="N426" i="28"/>
  <c r="O426" i="28"/>
  <c r="N427" i="28"/>
  <c r="O427" i="28"/>
  <c r="N428" i="28"/>
  <c r="O428" i="28"/>
  <c r="N429" i="28"/>
  <c r="O429" i="28"/>
  <c r="N430" i="28"/>
  <c r="O430" i="28"/>
  <c r="N431" i="28"/>
  <c r="O431" i="28"/>
  <c r="N432" i="28"/>
  <c r="O432" i="28"/>
  <c r="N433" i="28"/>
  <c r="O433" i="28"/>
  <c r="N434" i="28"/>
  <c r="O434" i="28"/>
  <c r="N435" i="28"/>
  <c r="O435" i="28"/>
  <c r="N436" i="28"/>
  <c r="O436" i="28"/>
  <c r="N437" i="28"/>
  <c r="O437" i="28"/>
  <c r="N438" i="28"/>
  <c r="O438" i="28"/>
  <c r="N439" i="28"/>
  <c r="O439" i="28"/>
  <c r="N440" i="28"/>
  <c r="O440" i="28"/>
  <c r="N441" i="28"/>
  <c r="O441" i="28"/>
  <c r="N442" i="28"/>
  <c r="O442" i="28"/>
  <c r="N443" i="28"/>
  <c r="O443" i="28"/>
  <c r="N444" i="28"/>
  <c r="O444" i="28"/>
  <c r="N445" i="28"/>
  <c r="O445" i="28"/>
  <c r="N446" i="28"/>
  <c r="O446" i="28"/>
  <c r="N447" i="28"/>
  <c r="O447" i="28"/>
  <c r="N448" i="28"/>
  <c r="O448" i="28"/>
  <c r="N449" i="28"/>
  <c r="O449" i="28"/>
  <c r="N450" i="28"/>
  <c r="O450" i="28"/>
  <c r="N451" i="28"/>
  <c r="O451" i="28"/>
  <c r="N452" i="28"/>
  <c r="O452" i="28"/>
  <c r="N453" i="28"/>
  <c r="O453" i="28"/>
  <c r="N454" i="28"/>
  <c r="O454" i="28"/>
  <c r="N455" i="28"/>
  <c r="O455" i="28"/>
  <c r="N456" i="28"/>
  <c r="O456" i="28"/>
  <c r="N457" i="28"/>
  <c r="O457" i="28"/>
  <c r="N458" i="28"/>
  <c r="O458" i="28"/>
  <c r="N459" i="28"/>
  <c r="O459" i="28"/>
  <c r="N460" i="28"/>
  <c r="O460" i="28"/>
  <c r="N461" i="28"/>
  <c r="O461" i="28"/>
  <c r="N462" i="28"/>
  <c r="O462" i="28"/>
  <c r="N463" i="28"/>
  <c r="O463" i="28"/>
  <c r="N464" i="28"/>
  <c r="O464" i="28"/>
  <c r="N465" i="28"/>
  <c r="O465" i="28"/>
  <c r="N466" i="28"/>
  <c r="O466" i="28"/>
  <c r="N467" i="28"/>
  <c r="O467" i="28"/>
  <c r="N468" i="28"/>
  <c r="O468" i="28"/>
  <c r="N469" i="28"/>
  <c r="O469" i="28"/>
  <c r="N470" i="28"/>
  <c r="O470" i="28"/>
  <c r="N471" i="28"/>
  <c r="O471" i="28"/>
  <c r="N472" i="28"/>
  <c r="O472" i="28"/>
  <c r="N473" i="28"/>
  <c r="O473" i="28"/>
  <c r="N474" i="28"/>
  <c r="O474" i="28"/>
  <c r="N475" i="28"/>
  <c r="O475" i="28"/>
  <c r="N476" i="28"/>
  <c r="O476" i="28"/>
  <c r="N477" i="28"/>
  <c r="O477" i="28"/>
  <c r="N478" i="28"/>
  <c r="O478" i="28"/>
  <c r="N479" i="28"/>
  <c r="O479" i="28"/>
  <c r="N480" i="28"/>
  <c r="O480" i="28"/>
  <c r="N481" i="28"/>
  <c r="O481" i="28"/>
  <c r="N482" i="28"/>
  <c r="O482" i="28"/>
  <c r="N483" i="28"/>
  <c r="O483" i="28"/>
  <c r="N484" i="28"/>
  <c r="O484" i="28"/>
  <c r="N485" i="28"/>
  <c r="O485" i="28"/>
  <c r="N486" i="28"/>
  <c r="O486" i="28"/>
  <c r="N487" i="28"/>
  <c r="O487" i="28"/>
  <c r="N488" i="28"/>
  <c r="O488" i="28"/>
  <c r="N489" i="28"/>
  <c r="O489" i="28"/>
  <c r="N490" i="28"/>
  <c r="O490" i="28"/>
  <c r="N491" i="28"/>
  <c r="O491" i="28"/>
  <c r="N492" i="28"/>
  <c r="O492" i="28"/>
  <c r="N493" i="28"/>
  <c r="O493" i="28"/>
  <c r="N494" i="28"/>
  <c r="O494" i="28"/>
  <c r="N495" i="28"/>
  <c r="O495" i="28"/>
  <c r="N496" i="28"/>
  <c r="O496" i="28"/>
  <c r="N497" i="28"/>
  <c r="O497" i="28"/>
  <c r="N498" i="28"/>
  <c r="O498" i="28"/>
  <c r="N499" i="28"/>
  <c r="O499" i="28"/>
  <c r="N500" i="28"/>
  <c r="O500" i="28"/>
  <c r="N501" i="28"/>
  <c r="O501" i="28"/>
  <c r="N502" i="28"/>
  <c r="O502" i="28"/>
  <c r="N503" i="28"/>
  <c r="O503" i="28"/>
  <c r="N504" i="28"/>
  <c r="O504" i="28"/>
  <c r="N505" i="28"/>
  <c r="O505" i="28"/>
  <c r="N506" i="28"/>
  <c r="O506" i="28"/>
  <c r="N507" i="28"/>
  <c r="O507" i="28"/>
  <c r="N508" i="28"/>
  <c r="O508" i="28"/>
  <c r="N509" i="28"/>
  <c r="O509" i="28"/>
  <c r="N510" i="28"/>
  <c r="O510" i="28"/>
  <c r="N511" i="28"/>
  <c r="O511" i="28"/>
  <c r="N512" i="28"/>
  <c r="O512" i="28"/>
  <c r="N513" i="28"/>
  <c r="O513" i="28"/>
  <c r="N514" i="28"/>
  <c r="O514" i="28"/>
  <c r="N515" i="28"/>
  <c r="O515" i="28"/>
  <c r="N516" i="28"/>
  <c r="O516" i="28"/>
  <c r="N517" i="28"/>
  <c r="O517" i="28"/>
  <c r="N518" i="28"/>
  <c r="O518" i="28"/>
  <c r="N519" i="28"/>
  <c r="O519" i="28"/>
  <c r="N520" i="28"/>
  <c r="O520" i="28"/>
  <c r="N521" i="28"/>
  <c r="O521" i="28"/>
  <c r="N522" i="28"/>
  <c r="O522" i="28"/>
  <c r="N523" i="28"/>
  <c r="O523" i="28"/>
  <c r="N524" i="28"/>
  <c r="O524" i="28"/>
  <c r="N525" i="28"/>
  <c r="O525" i="28"/>
  <c r="N526" i="28"/>
  <c r="O526" i="28"/>
  <c r="N527" i="28"/>
  <c r="O527" i="28"/>
  <c r="N528" i="28"/>
  <c r="O528" i="28"/>
  <c r="N529" i="28"/>
  <c r="O529" i="28"/>
  <c r="N530" i="28"/>
  <c r="O530" i="28"/>
  <c r="N531" i="28"/>
  <c r="O531" i="28"/>
  <c r="N532" i="28"/>
  <c r="O532" i="28"/>
  <c r="N533" i="28"/>
  <c r="O533" i="28"/>
  <c r="N534" i="28"/>
  <c r="O534" i="28"/>
  <c r="N535" i="28"/>
  <c r="O535" i="28"/>
  <c r="N536" i="28"/>
  <c r="O536" i="28"/>
  <c r="N537" i="28"/>
  <c r="O537" i="28"/>
  <c r="N538" i="28"/>
  <c r="O538" i="28"/>
  <c r="N539" i="28"/>
  <c r="O539" i="28"/>
  <c r="N540" i="28"/>
  <c r="O540" i="28"/>
  <c r="N541" i="28"/>
  <c r="O541" i="28"/>
  <c r="N542" i="28"/>
  <c r="O542" i="28"/>
  <c r="N543" i="28"/>
  <c r="O543" i="28"/>
  <c r="N544" i="28"/>
  <c r="O544" i="28"/>
  <c r="N545" i="28"/>
  <c r="O545" i="28"/>
  <c r="N546" i="28"/>
  <c r="O546" i="28"/>
  <c r="N547" i="28"/>
  <c r="O547" i="28"/>
  <c r="N548" i="28"/>
  <c r="O548" i="28"/>
  <c r="N549" i="28"/>
  <c r="O549" i="28"/>
  <c r="N550" i="28"/>
  <c r="O550" i="28"/>
  <c r="N551" i="28"/>
  <c r="O551" i="28"/>
  <c r="N552" i="28"/>
  <c r="O552" i="28"/>
  <c r="N553" i="28"/>
  <c r="O553" i="28"/>
  <c r="N554" i="28"/>
  <c r="O554" i="28"/>
  <c r="N555" i="28"/>
  <c r="O555" i="28"/>
  <c r="N556" i="28"/>
  <c r="O556" i="28"/>
  <c r="N557" i="28"/>
  <c r="O557" i="28"/>
  <c r="N558" i="28"/>
  <c r="O558" i="28"/>
  <c r="N559" i="28"/>
  <c r="O559" i="28"/>
  <c r="N560" i="28"/>
  <c r="O560" i="28"/>
  <c r="N561" i="28"/>
  <c r="O561" i="28"/>
  <c r="N562" i="28"/>
  <c r="O562" i="28"/>
  <c r="N563" i="28"/>
  <c r="O563" i="28"/>
  <c r="N564" i="28"/>
  <c r="O564" i="28"/>
  <c r="N565" i="28"/>
  <c r="O565" i="28"/>
  <c r="N566" i="28"/>
  <c r="O566" i="28"/>
  <c r="N567" i="28"/>
  <c r="O567" i="28"/>
  <c r="N568" i="28"/>
  <c r="O568" i="28"/>
  <c r="N569" i="28"/>
  <c r="O569" i="28"/>
  <c r="N570" i="28"/>
  <c r="O570" i="28"/>
  <c r="N571" i="28"/>
  <c r="O571" i="28"/>
  <c r="N572" i="28"/>
  <c r="O572" i="28"/>
  <c r="N573" i="28"/>
  <c r="O573" i="28"/>
  <c r="N574" i="28"/>
  <c r="O574" i="28"/>
  <c r="N575" i="28"/>
  <c r="O575" i="28"/>
  <c r="N576" i="28"/>
  <c r="O576" i="28"/>
  <c r="N577" i="28"/>
  <c r="O577" i="28"/>
  <c r="N578" i="28"/>
  <c r="O578" i="28"/>
  <c r="N579" i="28"/>
  <c r="O579" i="28"/>
  <c r="N580" i="28"/>
  <c r="O580" i="28"/>
  <c r="N581" i="28"/>
  <c r="O581" i="28"/>
  <c r="N582" i="28"/>
  <c r="O582" i="28"/>
  <c r="N583" i="28"/>
  <c r="O583" i="28"/>
  <c r="N584" i="28"/>
  <c r="O584" i="28"/>
  <c r="N585" i="28"/>
  <c r="O585" i="28"/>
  <c r="N586" i="28"/>
  <c r="O586" i="28"/>
  <c r="N587" i="28"/>
  <c r="O587" i="28"/>
  <c r="N588" i="28"/>
  <c r="O588" i="28"/>
  <c r="N589" i="28"/>
  <c r="O589" i="28"/>
  <c r="N590" i="28"/>
  <c r="O590" i="28"/>
  <c r="N591" i="28"/>
  <c r="O591" i="28"/>
  <c r="N592" i="28"/>
  <c r="O592" i="28"/>
  <c r="N593" i="28"/>
  <c r="O593" i="28"/>
  <c r="N594" i="28"/>
  <c r="O594" i="28"/>
  <c r="N595" i="28"/>
  <c r="O595" i="28"/>
  <c r="N596" i="28"/>
  <c r="O596" i="28"/>
  <c r="N597" i="28"/>
  <c r="O597" i="28"/>
  <c r="N598" i="28"/>
  <c r="O598" i="28"/>
  <c r="N599" i="28"/>
  <c r="O599" i="28"/>
  <c r="N600" i="28"/>
  <c r="O600" i="28"/>
  <c r="N601" i="28"/>
  <c r="O601" i="28"/>
  <c r="N602" i="28"/>
  <c r="O602" i="28"/>
  <c r="N603" i="28"/>
  <c r="O603" i="28"/>
  <c r="N604" i="28"/>
  <c r="O604" i="28"/>
  <c r="N605" i="28"/>
  <c r="O605" i="28"/>
  <c r="N606" i="28"/>
  <c r="O606" i="28"/>
  <c r="N607" i="28"/>
  <c r="O607" i="28"/>
  <c r="N608" i="28"/>
  <c r="O608" i="28"/>
  <c r="N609" i="28"/>
  <c r="O609" i="28"/>
  <c r="N610" i="28"/>
  <c r="O610" i="28"/>
  <c r="N611" i="28"/>
  <c r="O611" i="28"/>
  <c r="N612" i="28"/>
  <c r="O612" i="28"/>
  <c r="N613" i="28"/>
  <c r="O613" i="28"/>
  <c r="N614" i="28"/>
  <c r="O614" i="28"/>
  <c r="N615" i="28"/>
  <c r="O615" i="28"/>
  <c r="N616" i="28"/>
  <c r="O616" i="28"/>
  <c r="N617" i="28"/>
  <c r="O617" i="28"/>
  <c r="N618" i="28"/>
  <c r="O618" i="28"/>
  <c r="N619" i="28"/>
  <c r="O619" i="28"/>
  <c r="N620" i="28"/>
  <c r="O620" i="28"/>
  <c r="N621" i="28"/>
  <c r="O621" i="28"/>
  <c r="N622" i="28"/>
  <c r="O622" i="28"/>
  <c r="N623" i="28"/>
  <c r="O623" i="28"/>
  <c r="N624" i="28"/>
  <c r="O624" i="28"/>
  <c r="N625" i="28"/>
  <c r="O625" i="28"/>
  <c r="N626" i="28"/>
  <c r="O626" i="28"/>
  <c r="N627" i="28"/>
  <c r="O627" i="28"/>
  <c r="N628" i="28"/>
  <c r="O628" i="28"/>
  <c r="N629" i="28"/>
  <c r="O629" i="28"/>
  <c r="N630" i="28"/>
  <c r="O630" i="28"/>
  <c r="N631" i="28"/>
  <c r="O631" i="28"/>
  <c r="N632" i="28"/>
  <c r="O632" i="28"/>
  <c r="N633" i="28"/>
  <c r="O633" i="28"/>
  <c r="N634" i="28"/>
  <c r="O634" i="28"/>
  <c r="N635" i="28"/>
  <c r="O635" i="28"/>
  <c r="N636" i="28"/>
  <c r="O636" i="28"/>
  <c r="N637" i="28"/>
  <c r="O637" i="28"/>
  <c r="N638" i="28"/>
  <c r="O638" i="28"/>
  <c r="N639" i="28"/>
  <c r="O639" i="28"/>
  <c r="N640" i="28"/>
  <c r="O640" i="28"/>
  <c r="N641" i="28"/>
  <c r="O641" i="28"/>
  <c r="N642" i="28"/>
  <c r="O642" i="28"/>
  <c r="N643" i="28"/>
  <c r="O643" i="28"/>
  <c r="N644" i="28"/>
  <c r="O644" i="28"/>
  <c r="N645" i="28"/>
  <c r="O645" i="28"/>
  <c r="N646" i="28"/>
  <c r="O646" i="28"/>
  <c r="N647" i="28"/>
  <c r="O647" i="28"/>
  <c r="N648" i="28"/>
  <c r="O648" i="28"/>
  <c r="N649" i="28"/>
  <c r="O649" i="28"/>
  <c r="N650" i="28"/>
  <c r="O650" i="28"/>
  <c r="N651" i="28"/>
  <c r="O651" i="28"/>
  <c r="N652" i="28"/>
  <c r="O652" i="28"/>
  <c r="N653" i="28"/>
  <c r="O653" i="28"/>
  <c r="N654" i="28"/>
  <c r="O654" i="28"/>
  <c r="N655" i="28"/>
  <c r="O655" i="28"/>
  <c r="N656" i="28"/>
  <c r="O656" i="28"/>
  <c r="N657" i="28"/>
  <c r="O657" i="28"/>
  <c r="N658" i="28"/>
  <c r="O658" i="28"/>
  <c r="N659" i="28"/>
  <c r="O659" i="28"/>
  <c r="N660" i="28"/>
  <c r="O660" i="28"/>
  <c r="N661" i="28"/>
  <c r="O661" i="28"/>
  <c r="N662" i="28"/>
  <c r="O662" i="28"/>
  <c r="N663" i="28"/>
  <c r="O663" i="28"/>
  <c r="N664" i="28"/>
  <c r="O664" i="28"/>
  <c r="N665" i="28"/>
  <c r="O665" i="28"/>
  <c r="N666" i="28"/>
  <c r="O666" i="28"/>
  <c r="N667" i="28"/>
  <c r="O667" i="28"/>
  <c r="N668" i="28"/>
  <c r="O668" i="28"/>
  <c r="N669" i="28"/>
  <c r="O669" i="28"/>
  <c r="N670" i="28"/>
  <c r="O670" i="28"/>
  <c r="N671" i="28"/>
  <c r="O671" i="28"/>
  <c r="N672" i="28"/>
  <c r="O672" i="28"/>
  <c r="N673" i="28"/>
  <c r="O673" i="28"/>
  <c r="N674" i="28"/>
  <c r="O674" i="28"/>
  <c r="N675" i="28"/>
  <c r="O675" i="28"/>
  <c r="N676" i="28"/>
  <c r="O676" i="28"/>
  <c r="N677" i="28"/>
  <c r="O677" i="28"/>
  <c r="N678" i="28"/>
  <c r="O678" i="28"/>
  <c r="N679" i="28"/>
  <c r="O679" i="28"/>
  <c r="N680" i="28"/>
  <c r="O680" i="28"/>
  <c r="N681" i="28"/>
  <c r="O681" i="28"/>
  <c r="N682" i="28"/>
  <c r="O682" i="28"/>
  <c r="N683" i="28"/>
  <c r="O683" i="28"/>
  <c r="N684" i="28"/>
  <c r="O684" i="28"/>
  <c r="N685" i="28"/>
  <c r="O685" i="28"/>
  <c r="N686" i="28"/>
  <c r="O686" i="28"/>
  <c r="N687" i="28"/>
  <c r="O687" i="28"/>
  <c r="N688" i="28"/>
  <c r="O688" i="28"/>
  <c r="N689" i="28"/>
  <c r="O689" i="28"/>
  <c r="N690" i="28"/>
  <c r="O690" i="28"/>
  <c r="N691" i="28"/>
  <c r="O691" i="28"/>
  <c r="N692" i="28"/>
  <c r="O692" i="28"/>
  <c r="N693" i="28"/>
  <c r="O693" i="28"/>
  <c r="N694" i="28"/>
  <c r="O694" i="28"/>
  <c r="N695" i="28"/>
  <c r="O695" i="28"/>
  <c r="N696" i="28"/>
  <c r="O696" i="28"/>
  <c r="N697" i="28"/>
  <c r="O697" i="28"/>
  <c r="N698" i="28"/>
  <c r="O698" i="28"/>
  <c r="N699" i="28"/>
  <c r="O699" i="28"/>
  <c r="N700" i="28"/>
  <c r="O700" i="28"/>
  <c r="N701" i="28"/>
  <c r="O701" i="28"/>
  <c r="N702" i="28"/>
  <c r="O702" i="28"/>
  <c r="N703" i="28"/>
  <c r="O703" i="28"/>
  <c r="N704" i="28"/>
  <c r="O704" i="28"/>
  <c r="N705" i="28"/>
  <c r="O705" i="28"/>
  <c r="N706" i="28"/>
  <c r="O706" i="28"/>
  <c r="N707" i="28"/>
  <c r="O707" i="28"/>
  <c r="N708" i="28"/>
  <c r="O708" i="28"/>
  <c r="N709" i="28"/>
  <c r="O709" i="28"/>
  <c r="N710" i="28"/>
  <c r="O710" i="28"/>
  <c r="N711" i="28"/>
  <c r="O711" i="28"/>
  <c r="N712" i="28"/>
  <c r="O712" i="28"/>
  <c r="N713" i="28"/>
  <c r="O713" i="28"/>
  <c r="N714" i="28"/>
  <c r="O714" i="28"/>
  <c r="N715" i="28"/>
  <c r="O715" i="28"/>
  <c r="N716" i="28"/>
  <c r="O716" i="28"/>
  <c r="N717" i="28"/>
  <c r="O717" i="28"/>
  <c r="N718" i="28"/>
  <c r="O718" i="28"/>
  <c r="N719" i="28"/>
  <c r="O719" i="28"/>
  <c r="N720" i="28"/>
  <c r="O720" i="28"/>
  <c r="N721" i="28"/>
  <c r="O721" i="28"/>
  <c r="N722" i="28"/>
  <c r="O722" i="28"/>
  <c r="N723" i="28"/>
  <c r="O723" i="28"/>
  <c r="N724" i="28"/>
  <c r="O724" i="28"/>
  <c r="N725" i="28"/>
  <c r="O725" i="28"/>
  <c r="N726" i="28"/>
  <c r="O726" i="28"/>
  <c r="N727" i="28"/>
  <c r="O727" i="28"/>
  <c r="N728" i="28"/>
  <c r="O728" i="28"/>
  <c r="N729" i="28"/>
  <c r="O729" i="28"/>
  <c r="N730" i="28"/>
  <c r="O730" i="28"/>
  <c r="N731" i="28"/>
  <c r="O731" i="28"/>
  <c r="N732" i="28"/>
  <c r="O732" i="28"/>
  <c r="N733" i="28"/>
  <c r="O733" i="28"/>
  <c r="N734" i="28"/>
  <c r="O734" i="28"/>
  <c r="N735" i="28"/>
  <c r="O735" i="28"/>
  <c r="N736" i="28"/>
  <c r="O736" i="28"/>
  <c r="N737" i="28"/>
  <c r="O737" i="28"/>
  <c r="N738" i="28"/>
  <c r="O738" i="28"/>
  <c r="N739" i="28"/>
  <c r="O739" i="28"/>
  <c r="N740" i="28"/>
  <c r="O740" i="28"/>
  <c r="N741" i="28"/>
  <c r="O741" i="28"/>
  <c r="N742" i="28"/>
  <c r="O742" i="28"/>
  <c r="N743" i="28"/>
  <c r="O743" i="28"/>
  <c r="N744" i="28"/>
  <c r="O744" i="28"/>
  <c r="N745" i="28"/>
  <c r="O745" i="28"/>
  <c r="N746" i="28"/>
  <c r="O746" i="28"/>
  <c r="N747" i="28"/>
  <c r="O747" i="28"/>
  <c r="N748" i="28"/>
  <c r="O748" i="28"/>
  <c r="N749" i="28"/>
  <c r="O749" i="28"/>
  <c r="N750" i="28"/>
  <c r="O750" i="28"/>
  <c r="N751" i="28"/>
  <c r="O751" i="28"/>
  <c r="N752" i="28"/>
  <c r="O752" i="28"/>
  <c r="N753" i="28"/>
  <c r="O753" i="28"/>
  <c r="N754" i="28"/>
  <c r="O754" i="28"/>
  <c r="N755" i="28"/>
  <c r="O755" i="28"/>
  <c r="N756" i="28"/>
  <c r="O756" i="28"/>
  <c r="N757" i="28"/>
  <c r="O757" i="28"/>
  <c r="N758" i="28"/>
  <c r="O758" i="28"/>
  <c r="N759" i="28"/>
  <c r="O759" i="28"/>
  <c r="N760" i="28"/>
  <c r="O760" i="28"/>
  <c r="N761" i="28"/>
  <c r="O761" i="28"/>
  <c r="N762" i="28"/>
  <c r="O762" i="28"/>
  <c r="N763" i="28"/>
  <c r="O763" i="28"/>
  <c r="N764" i="28"/>
  <c r="O764" i="28"/>
  <c r="N765" i="28"/>
  <c r="O765" i="28"/>
  <c r="N766" i="28"/>
  <c r="O766" i="28"/>
  <c r="N767" i="28"/>
  <c r="O767" i="28"/>
  <c r="N768" i="28"/>
  <c r="O768" i="28"/>
  <c r="N769" i="28"/>
  <c r="O769" i="28"/>
  <c r="N770" i="28"/>
  <c r="O770" i="28"/>
  <c r="N771" i="28"/>
  <c r="O771" i="28"/>
  <c r="N772" i="28"/>
  <c r="O772" i="28"/>
  <c r="N773" i="28"/>
  <c r="O773" i="28"/>
  <c r="N774" i="28"/>
  <c r="O774" i="28"/>
  <c r="N775" i="28"/>
  <c r="O775" i="28"/>
  <c r="N776" i="28"/>
  <c r="O776" i="28"/>
  <c r="N777" i="28"/>
  <c r="O777" i="28"/>
  <c r="N778" i="28"/>
  <c r="O778" i="28"/>
  <c r="N779" i="28"/>
  <c r="O779" i="28"/>
  <c r="N780" i="28"/>
  <c r="O780" i="28"/>
  <c r="N781" i="28"/>
  <c r="O781" i="28"/>
  <c r="N782" i="28"/>
  <c r="O782" i="28"/>
  <c r="N783" i="28"/>
  <c r="O783" i="28"/>
  <c r="N784" i="28"/>
  <c r="O784" i="28"/>
  <c r="P784" i="28"/>
  <c r="Q784" i="28" s="1"/>
  <c r="N785" i="28"/>
  <c r="O785" i="28"/>
  <c r="P785" i="28" s="1"/>
  <c r="Q785" i="28" s="1"/>
  <c r="N786" i="28"/>
  <c r="O786" i="28"/>
  <c r="P786" i="28" s="1"/>
  <c r="Q786" i="28" s="1"/>
  <c r="N787" i="28"/>
  <c r="O787" i="28"/>
  <c r="N788" i="28"/>
  <c r="O788" i="28"/>
  <c r="P788" i="28" s="1"/>
  <c r="Q788" i="28" s="1"/>
  <c r="N789" i="28"/>
  <c r="O789" i="28"/>
  <c r="N790" i="28"/>
  <c r="O790" i="28"/>
  <c r="N791" i="28"/>
  <c r="O791" i="28"/>
  <c r="N792" i="28"/>
  <c r="O792" i="28"/>
  <c r="P792" i="28" s="1"/>
  <c r="Q792" i="28" s="1"/>
  <c r="N793" i="28"/>
  <c r="O793" i="28"/>
  <c r="N794" i="28"/>
  <c r="O794" i="28"/>
  <c r="N795" i="28"/>
  <c r="O795" i="28"/>
  <c r="N796" i="28"/>
  <c r="O796" i="28"/>
  <c r="N797" i="28"/>
  <c r="O797" i="28"/>
  <c r="N798" i="28"/>
  <c r="O798" i="28"/>
  <c r="N799" i="28"/>
  <c r="O799" i="28"/>
  <c r="N800" i="28"/>
  <c r="O800" i="28"/>
  <c r="P800" i="28" s="1"/>
  <c r="Q800" i="28" s="1"/>
  <c r="N801" i="28"/>
  <c r="O801" i="28"/>
  <c r="N802" i="28"/>
  <c r="O802" i="28"/>
  <c r="N803" i="28"/>
  <c r="O803" i="28"/>
  <c r="N804" i="28"/>
  <c r="O804" i="28"/>
  <c r="N805" i="28"/>
  <c r="O805" i="28"/>
  <c r="N806" i="28"/>
  <c r="O806" i="28"/>
  <c r="N807" i="28"/>
  <c r="O807" i="28"/>
  <c r="N808" i="28"/>
  <c r="O808" i="28"/>
  <c r="N809" i="28"/>
  <c r="O809" i="28"/>
  <c r="N810" i="28"/>
  <c r="O810" i="28"/>
  <c r="N811" i="28"/>
  <c r="O811" i="28"/>
  <c r="N812" i="28"/>
  <c r="O812" i="28"/>
  <c r="N813" i="28"/>
  <c r="O813" i="28"/>
  <c r="N814" i="28"/>
  <c r="O814" i="28"/>
  <c r="N815" i="28"/>
  <c r="O815" i="28"/>
  <c r="N816" i="28"/>
  <c r="O816" i="28"/>
  <c r="N817" i="28"/>
  <c r="O817" i="28"/>
  <c r="N818" i="28"/>
  <c r="O818" i="28"/>
  <c r="N819" i="28"/>
  <c r="O819" i="28"/>
  <c r="N820" i="28"/>
  <c r="O820" i="28"/>
  <c r="N821" i="28"/>
  <c r="O821" i="28"/>
  <c r="N822" i="28"/>
  <c r="O822" i="28"/>
  <c r="N823" i="28"/>
  <c r="O823" i="28"/>
  <c r="N824" i="28"/>
  <c r="O824" i="28"/>
  <c r="N825" i="28"/>
  <c r="O825" i="28"/>
  <c r="N826" i="28"/>
  <c r="O826" i="28"/>
  <c r="N827" i="28"/>
  <c r="O827" i="28"/>
  <c r="N828" i="28"/>
  <c r="O828" i="28"/>
  <c r="N829" i="28"/>
  <c r="O829" i="28"/>
  <c r="N830" i="28"/>
  <c r="O830" i="28"/>
  <c r="N831" i="28"/>
  <c r="O831" i="28"/>
  <c r="N832" i="28"/>
  <c r="O832" i="28"/>
  <c r="N833" i="28"/>
  <c r="O833" i="28"/>
  <c r="N834" i="28"/>
  <c r="O834" i="28"/>
  <c r="N835" i="28"/>
  <c r="O835" i="28"/>
  <c r="N836" i="28"/>
  <c r="O836" i="28"/>
  <c r="N837" i="28"/>
  <c r="O837" i="28"/>
  <c r="N838" i="28"/>
  <c r="O838" i="28"/>
  <c r="N839" i="28"/>
  <c r="O839" i="28"/>
  <c r="N840" i="28"/>
  <c r="O840" i="28"/>
  <c r="N841" i="28"/>
  <c r="O841" i="28"/>
  <c r="N842" i="28"/>
  <c r="O842" i="28"/>
  <c r="N843" i="28"/>
  <c r="O843" i="28"/>
  <c r="N844" i="28"/>
  <c r="O844" i="28"/>
  <c r="P802" i="28" l="1"/>
  <c r="Q802" i="28" s="1"/>
  <c r="P801" i="28"/>
  <c r="Q801" i="28" s="1"/>
  <c r="P796" i="28"/>
  <c r="Q796" i="28" s="1"/>
  <c r="P794" i="28"/>
  <c r="Q794" i="28" s="1"/>
  <c r="P793" i="28"/>
  <c r="Q793" i="28" s="1"/>
  <c r="P780" i="28"/>
  <c r="Q780" i="28" s="1"/>
  <c r="P798" i="28"/>
  <c r="Q798" i="28" s="1"/>
  <c r="P797" i="28"/>
  <c r="Q797" i="28" s="1"/>
  <c r="P790" i="28"/>
  <c r="Q790" i="28" s="1"/>
  <c r="P789" i="28"/>
  <c r="Q789" i="28" s="1"/>
  <c r="P782" i="28"/>
  <c r="Q782" i="28" s="1"/>
  <c r="P781" i="28"/>
  <c r="Q781" i="28" s="1"/>
  <c r="P803" i="28"/>
  <c r="Q803" i="28" s="1"/>
  <c r="P799" i="28"/>
  <c r="Q799" i="28" s="1"/>
  <c r="P795" i="28"/>
  <c r="Q795" i="28" s="1"/>
  <c r="P791" i="28"/>
  <c r="Q791" i="28" s="1"/>
  <c r="P787" i="28"/>
  <c r="Q787" i="28" s="1"/>
  <c r="P783" i="28"/>
  <c r="Q783" i="28" s="1"/>
  <c r="P844" i="28"/>
  <c r="Q844" i="28" s="1"/>
  <c r="P843" i="28"/>
  <c r="Q843" i="28" s="1"/>
  <c r="P842" i="28"/>
  <c r="Q842" i="28" s="1"/>
  <c r="P841" i="28"/>
  <c r="Q841" i="28" s="1"/>
  <c r="P840" i="28"/>
  <c r="Q840" i="28" s="1"/>
  <c r="P839" i="28"/>
  <c r="Q839" i="28" s="1"/>
  <c r="P838" i="28"/>
  <c r="Q838" i="28" s="1"/>
  <c r="P837" i="28"/>
  <c r="Q837" i="28" s="1"/>
  <c r="P836" i="28"/>
  <c r="Q836" i="28" s="1"/>
  <c r="P835" i="28"/>
  <c r="Q835" i="28" s="1"/>
  <c r="P834" i="28"/>
  <c r="Q834" i="28" s="1"/>
  <c r="P833" i="28"/>
  <c r="Q833" i="28" s="1"/>
  <c r="P832" i="28"/>
  <c r="Q832" i="28" s="1"/>
  <c r="P831" i="28"/>
  <c r="Q831" i="28" s="1"/>
  <c r="P830" i="28"/>
  <c r="Q830" i="28" s="1"/>
  <c r="P829" i="28"/>
  <c r="Q829" i="28" s="1"/>
  <c r="P828" i="28"/>
  <c r="Q828" i="28" s="1"/>
  <c r="P827" i="28"/>
  <c r="Q827" i="28" s="1"/>
  <c r="P826" i="28"/>
  <c r="Q826" i="28" s="1"/>
  <c r="P825" i="28"/>
  <c r="Q825" i="28" s="1"/>
  <c r="P824" i="28"/>
  <c r="Q824" i="28" s="1"/>
  <c r="P823" i="28"/>
  <c r="Q823" i="28" s="1"/>
  <c r="P822" i="28"/>
  <c r="Q822" i="28" s="1"/>
  <c r="P821" i="28"/>
  <c r="Q821" i="28" s="1"/>
  <c r="P820" i="28"/>
  <c r="Q820" i="28" s="1"/>
  <c r="P819" i="28"/>
  <c r="Q819" i="28" s="1"/>
  <c r="P818" i="28"/>
  <c r="Q818" i="28" s="1"/>
  <c r="P817" i="28"/>
  <c r="Q817" i="28" s="1"/>
  <c r="P816" i="28"/>
  <c r="Q816" i="28" s="1"/>
  <c r="P815" i="28"/>
  <c r="Q815" i="28" s="1"/>
  <c r="P814" i="28"/>
  <c r="Q814" i="28" s="1"/>
  <c r="P813" i="28"/>
  <c r="Q813" i="28" s="1"/>
  <c r="P812" i="28"/>
  <c r="Q812" i="28" s="1"/>
  <c r="P811" i="28"/>
  <c r="Q811" i="28" s="1"/>
  <c r="P810" i="28"/>
  <c r="Q810" i="28" s="1"/>
  <c r="P809" i="28"/>
  <c r="Q809" i="28" s="1"/>
  <c r="P808" i="28"/>
  <c r="Q808" i="28" s="1"/>
  <c r="P807" i="28"/>
  <c r="Q807" i="28" s="1"/>
  <c r="P806" i="28"/>
  <c r="Q806" i="28" s="1"/>
  <c r="P805" i="28"/>
  <c r="Q805" i="28" s="1"/>
  <c r="P804" i="28"/>
  <c r="Q804" i="28" s="1"/>
  <c r="P96" i="28"/>
  <c r="Q96" i="28" s="1"/>
  <c r="P228" i="28"/>
  <c r="Q228" i="28" s="1"/>
  <c r="P129" i="28"/>
  <c r="Q129" i="28" s="1"/>
  <c r="P113" i="28"/>
  <c r="Q113" i="28" s="1"/>
  <c r="P104" i="28"/>
  <c r="Q104" i="28" s="1"/>
  <c r="P100" i="28"/>
  <c r="Q100" i="28" s="1"/>
  <c r="P98" i="28"/>
  <c r="Q98" i="28" s="1"/>
  <c r="P97" i="28"/>
  <c r="Q97" i="28" s="1"/>
  <c r="P488" i="28"/>
  <c r="Q488" i="28" s="1"/>
  <c r="P400" i="28"/>
  <c r="Q400" i="28" s="1"/>
  <c r="P367" i="28"/>
  <c r="Q367" i="28" s="1"/>
  <c r="P244" i="28"/>
  <c r="Q244" i="28" s="1"/>
  <c r="P236" i="28"/>
  <c r="Q236" i="28" s="1"/>
  <c r="P232" i="28"/>
  <c r="Q232" i="28" s="1"/>
  <c r="P230" i="28"/>
  <c r="Q230" i="28" s="1"/>
  <c r="P229" i="28"/>
  <c r="Q229" i="28" s="1"/>
  <c r="P609" i="28"/>
  <c r="Q609" i="28" s="1"/>
  <c r="P548" i="28"/>
  <c r="Q548" i="28" s="1"/>
  <c r="P516" i="28"/>
  <c r="Q516" i="28" s="1"/>
  <c r="P500" i="28"/>
  <c r="Q500" i="28" s="1"/>
  <c r="P493" i="28"/>
  <c r="Q493" i="28" s="1"/>
  <c r="P491" i="28"/>
  <c r="Q491" i="28" s="1"/>
  <c r="P490" i="28"/>
  <c r="Q490" i="28" s="1"/>
  <c r="P487" i="28"/>
  <c r="Q487" i="28" s="1"/>
  <c r="P161" i="28"/>
  <c r="Q161" i="28" s="1"/>
  <c r="P32" i="28"/>
  <c r="Q32" i="28" s="1"/>
  <c r="P710" i="28"/>
  <c r="Q710" i="28" s="1"/>
  <c r="P679" i="28"/>
  <c r="Q679" i="28" s="1"/>
  <c r="P669" i="28"/>
  <c r="Q669" i="28" s="1"/>
  <c r="P665" i="28"/>
  <c r="Q665" i="28" s="1"/>
  <c r="P663" i="28"/>
  <c r="Q663" i="28" s="1"/>
  <c r="P662" i="28"/>
  <c r="Q662" i="28" s="1"/>
  <c r="P653" i="28"/>
  <c r="Q653" i="28" s="1"/>
  <c r="P641" i="28"/>
  <c r="Q641" i="28" s="1"/>
  <c r="P635" i="28"/>
  <c r="Q635" i="28" s="1"/>
  <c r="P634" i="28"/>
  <c r="Q634" i="28" s="1"/>
  <c r="P625" i="28"/>
  <c r="Q625" i="28" s="1"/>
  <c r="P617" i="28"/>
  <c r="Q617" i="28" s="1"/>
  <c r="P611" i="28"/>
  <c r="Q611" i="28" s="1"/>
  <c r="P610" i="28"/>
  <c r="Q610" i="28" s="1"/>
  <c r="P443" i="28"/>
  <c r="Q443" i="28" s="1"/>
  <c r="P427" i="28"/>
  <c r="Q427" i="28" s="1"/>
  <c r="P412" i="28"/>
  <c r="Q412" i="28" s="1"/>
  <c r="P404" i="28"/>
  <c r="Q404" i="28" s="1"/>
  <c r="P402" i="28"/>
  <c r="Q402" i="28" s="1"/>
  <c r="P401" i="28"/>
  <c r="Q401" i="28" s="1"/>
  <c r="P193" i="28"/>
  <c r="Q193" i="28" s="1"/>
  <c r="P177" i="28"/>
  <c r="Q177" i="28" s="1"/>
  <c r="P169" i="28"/>
  <c r="Q169" i="28" s="1"/>
  <c r="P165" i="28"/>
  <c r="Q165" i="28" s="1"/>
  <c r="P163" i="28"/>
  <c r="Q163" i="28" s="1"/>
  <c r="P162" i="28"/>
  <c r="Q162" i="28" s="1"/>
  <c r="P64" i="28"/>
  <c r="Q64" i="28" s="1"/>
  <c r="P48" i="28"/>
  <c r="Q48" i="28" s="1"/>
  <c r="P40" i="28"/>
  <c r="Q40" i="28" s="1"/>
  <c r="P36" i="28"/>
  <c r="Q36" i="28" s="1"/>
  <c r="P34" i="28"/>
  <c r="Q34" i="28" s="1"/>
  <c r="P33" i="28"/>
  <c r="Q33" i="28" s="1"/>
  <c r="P768" i="28"/>
  <c r="Q768" i="28" s="1"/>
  <c r="P748" i="28"/>
  <c r="Q748" i="28" s="1"/>
  <c r="P744" i="28"/>
  <c r="Q744" i="28" s="1"/>
  <c r="P742" i="28"/>
  <c r="Q742" i="28" s="1"/>
  <c r="P741" i="28"/>
  <c r="Q741" i="28" s="1"/>
  <c r="P726" i="28"/>
  <c r="Q726" i="28" s="1"/>
  <c r="P720" i="28"/>
  <c r="Q720" i="28" s="1"/>
  <c r="P714" i="28"/>
  <c r="Q714" i="28" s="1"/>
  <c r="P712" i="28"/>
  <c r="Q712" i="28" s="1"/>
  <c r="P708" i="28"/>
  <c r="Q708" i="28" s="1"/>
  <c r="P580" i="28"/>
  <c r="Q580" i="28" s="1"/>
  <c r="P564" i="28"/>
  <c r="Q564" i="28" s="1"/>
  <c r="P556" i="28"/>
  <c r="Q556" i="28" s="1"/>
  <c r="P552" i="28"/>
  <c r="Q552" i="28" s="1"/>
  <c r="P550" i="28"/>
  <c r="Q550" i="28" s="1"/>
  <c r="P547" i="28"/>
  <c r="Q547" i="28" s="1"/>
  <c r="P459" i="28"/>
  <c r="Q459" i="28" s="1"/>
  <c r="P451" i="28"/>
  <c r="Q451" i="28" s="1"/>
  <c r="P447" i="28"/>
  <c r="Q447" i="28" s="1"/>
  <c r="P445" i="28"/>
  <c r="Q445" i="28" s="1"/>
  <c r="P444" i="28"/>
  <c r="Q444" i="28" s="1"/>
  <c r="P383" i="28"/>
  <c r="Q383" i="28" s="1"/>
  <c r="P375" i="28"/>
  <c r="Q375" i="28" s="1"/>
  <c r="P371" i="28"/>
  <c r="Q371" i="28" s="1"/>
  <c r="P369" i="28"/>
  <c r="Q369" i="28" s="1"/>
  <c r="P368" i="28"/>
  <c r="Q368" i="28" s="1"/>
  <c r="P349" i="28"/>
  <c r="Q349" i="28" s="1"/>
  <c r="P212" i="28"/>
  <c r="Q212" i="28" s="1"/>
  <c r="P204" i="28"/>
  <c r="Q204" i="28" s="1"/>
  <c r="P200" i="28"/>
  <c r="Q200" i="28" s="1"/>
  <c r="P197" i="28"/>
  <c r="Q197" i="28" s="1"/>
  <c r="P195" i="28"/>
  <c r="Q195" i="28" s="1"/>
  <c r="P194" i="28"/>
  <c r="Q194" i="28" s="1"/>
  <c r="P145" i="28"/>
  <c r="Q145" i="28" s="1"/>
  <c r="P137" i="28"/>
  <c r="Q137" i="28" s="1"/>
  <c r="P133" i="28"/>
  <c r="Q133" i="28" s="1"/>
  <c r="P131" i="28"/>
  <c r="Q131" i="28" s="1"/>
  <c r="P130" i="28"/>
  <c r="Q130" i="28" s="1"/>
  <c r="P80" i="28"/>
  <c r="Q80" i="28" s="1"/>
  <c r="P72" i="28"/>
  <c r="Q72" i="28" s="1"/>
  <c r="P68" i="28"/>
  <c r="Q68" i="28" s="1"/>
  <c r="P66" i="28"/>
  <c r="Q66" i="28" s="1"/>
  <c r="P65" i="28"/>
  <c r="Q65" i="28" s="1"/>
  <c r="P778" i="28"/>
  <c r="Q778" i="28" s="1"/>
  <c r="P774" i="28"/>
  <c r="Q774" i="28" s="1"/>
  <c r="P772" i="28"/>
  <c r="Q772" i="28" s="1"/>
  <c r="P771" i="28"/>
  <c r="Q771" i="28" s="1"/>
  <c r="P769" i="28"/>
  <c r="Q769" i="28" s="1"/>
  <c r="P740" i="28"/>
  <c r="Q740" i="28" s="1"/>
  <c r="P690" i="28"/>
  <c r="Q690" i="28" s="1"/>
  <c r="P683" i="28"/>
  <c r="Q683" i="28" s="1"/>
  <c r="P681" i="28"/>
  <c r="Q681" i="28" s="1"/>
  <c r="P680" i="28"/>
  <c r="Q680" i="28" s="1"/>
  <c r="P677" i="28"/>
  <c r="Q677" i="28" s="1"/>
  <c r="P661" i="28"/>
  <c r="Q661" i="28" s="1"/>
  <c r="P633" i="28"/>
  <c r="Q633" i="28" s="1"/>
  <c r="P596" i="28"/>
  <c r="Q596" i="28" s="1"/>
  <c r="P588" i="28"/>
  <c r="Q588" i="28" s="1"/>
  <c r="P584" i="28"/>
  <c r="Q584" i="28" s="1"/>
  <c r="P582" i="28"/>
  <c r="Q582" i="28" s="1"/>
  <c r="P579" i="28"/>
  <c r="Q579" i="28" s="1"/>
  <c r="P532" i="28"/>
  <c r="Q532" i="28" s="1"/>
  <c r="P524" i="28"/>
  <c r="Q524" i="28" s="1"/>
  <c r="P520" i="28"/>
  <c r="Q520" i="28" s="1"/>
  <c r="P518" i="28"/>
  <c r="Q518" i="28" s="1"/>
  <c r="P515" i="28"/>
  <c r="Q515" i="28" s="1"/>
  <c r="P472" i="28"/>
  <c r="Q472" i="28" s="1"/>
  <c r="P464" i="28"/>
  <c r="Q464" i="28" s="1"/>
  <c r="P461" i="28"/>
  <c r="Q461" i="28" s="1"/>
  <c r="P460" i="28"/>
  <c r="Q460" i="28" s="1"/>
  <c r="P435" i="28"/>
  <c r="Q435" i="28" s="1"/>
  <c r="P431" i="28"/>
  <c r="Q431" i="28" s="1"/>
  <c r="P429" i="28"/>
  <c r="Q429" i="28" s="1"/>
  <c r="P428" i="28"/>
  <c r="Q428" i="28" s="1"/>
  <c r="P391" i="28"/>
  <c r="Q391" i="28" s="1"/>
  <c r="P387" i="28"/>
  <c r="Q387" i="28" s="1"/>
  <c r="P385" i="28"/>
  <c r="Q385" i="28" s="1"/>
  <c r="P384" i="28"/>
  <c r="Q384" i="28" s="1"/>
  <c r="P357" i="28"/>
  <c r="Q357" i="28" s="1"/>
  <c r="P353" i="28"/>
  <c r="Q353" i="28" s="1"/>
  <c r="P351" i="28"/>
  <c r="Q351" i="28" s="1"/>
  <c r="P350" i="28"/>
  <c r="Q350" i="28" s="1"/>
  <c r="P337" i="28"/>
  <c r="Q337" i="28" s="1"/>
  <c r="P248" i="28"/>
  <c r="Q248" i="28" s="1"/>
  <c r="P246" i="28"/>
  <c r="Q246" i="28" s="1"/>
  <c r="P245" i="28"/>
  <c r="Q245" i="28" s="1"/>
  <c r="P220" i="28"/>
  <c r="Q220" i="28" s="1"/>
  <c r="P216" i="28"/>
  <c r="Q216" i="28" s="1"/>
  <c r="P214" i="28"/>
  <c r="Q214" i="28" s="1"/>
  <c r="P213" i="28"/>
  <c r="Q213" i="28" s="1"/>
  <c r="P185" i="28"/>
  <c r="Q185" i="28" s="1"/>
  <c r="P181" i="28"/>
  <c r="Q181" i="28" s="1"/>
  <c r="P179" i="28"/>
  <c r="Q179" i="28" s="1"/>
  <c r="P178" i="28"/>
  <c r="Q178" i="28" s="1"/>
  <c r="P153" i="28"/>
  <c r="Q153" i="28" s="1"/>
  <c r="P149" i="28"/>
  <c r="Q149" i="28" s="1"/>
  <c r="P147" i="28"/>
  <c r="Q147" i="28" s="1"/>
  <c r="P146" i="28"/>
  <c r="Q146" i="28" s="1"/>
  <c r="P121" i="28"/>
  <c r="Q121" i="28" s="1"/>
  <c r="P117" i="28"/>
  <c r="Q117" i="28" s="1"/>
  <c r="P115" i="28"/>
  <c r="Q115" i="28" s="1"/>
  <c r="P114" i="28"/>
  <c r="Q114" i="28" s="1"/>
  <c r="P88" i="28"/>
  <c r="Q88" i="28" s="1"/>
  <c r="P84" i="28"/>
  <c r="Q84" i="28" s="1"/>
  <c r="P82" i="28"/>
  <c r="Q82" i="28" s="1"/>
  <c r="P81" i="28"/>
  <c r="Q81" i="28" s="1"/>
  <c r="P56" i="28"/>
  <c r="Q56" i="28" s="1"/>
  <c r="P52" i="28"/>
  <c r="Q52" i="28" s="1"/>
  <c r="P50" i="28"/>
  <c r="Q50" i="28" s="1"/>
  <c r="P49" i="28"/>
  <c r="Q49" i="28" s="1"/>
  <c r="P779" i="28"/>
  <c r="Q779" i="28" s="1"/>
  <c r="P760" i="28"/>
  <c r="Q760" i="28" s="1"/>
  <c r="P758" i="28"/>
  <c r="Q758" i="28" s="1"/>
  <c r="P757" i="28"/>
  <c r="Q757" i="28" s="1"/>
  <c r="P755" i="28"/>
  <c r="Q755" i="28" s="1"/>
  <c r="P753" i="28"/>
  <c r="Q753" i="28" s="1"/>
  <c r="P751" i="28"/>
  <c r="Q751" i="28" s="1"/>
  <c r="P750" i="28"/>
  <c r="Q750" i="28" s="1"/>
  <c r="P749" i="28"/>
  <c r="Q749" i="28" s="1"/>
  <c r="P734" i="28"/>
  <c r="Q734" i="28" s="1"/>
  <c r="P730" i="28"/>
  <c r="Q730" i="28" s="1"/>
  <c r="P728" i="28"/>
  <c r="Q728" i="28" s="1"/>
  <c r="P725" i="28"/>
  <c r="Q725" i="28" s="1"/>
  <c r="P698" i="28"/>
  <c r="Q698" i="28" s="1"/>
  <c r="P694" i="28"/>
  <c r="Q694" i="28" s="1"/>
  <c r="P692" i="28"/>
  <c r="Q692" i="28" s="1"/>
  <c r="P689" i="28"/>
  <c r="Q689" i="28" s="1"/>
  <c r="P673" i="28"/>
  <c r="Q673" i="28" s="1"/>
  <c r="P671" i="28"/>
  <c r="Q671" i="28" s="1"/>
  <c r="P670" i="28"/>
  <c r="Q670" i="28" s="1"/>
  <c r="P657" i="28"/>
  <c r="Q657" i="28" s="1"/>
  <c r="P655" i="28"/>
  <c r="Q655" i="28" s="1"/>
  <c r="P654" i="28"/>
  <c r="Q654" i="28" s="1"/>
  <c r="P651" i="28"/>
  <c r="Q651" i="28" s="1"/>
  <c r="P649" i="28"/>
  <c r="Q649" i="28" s="1"/>
  <c r="P647" i="28"/>
  <c r="Q647" i="28" s="1"/>
  <c r="P645" i="28"/>
  <c r="Q645" i="28" s="1"/>
  <c r="P629" i="28"/>
  <c r="Q629" i="28" s="1"/>
  <c r="P627" i="28"/>
  <c r="Q627" i="28" s="1"/>
  <c r="P626" i="28"/>
  <c r="Q626" i="28" s="1"/>
  <c r="P623" i="28"/>
  <c r="Q623" i="28" s="1"/>
  <c r="P621" i="28"/>
  <c r="Q621" i="28" s="1"/>
  <c r="P603" i="28"/>
  <c r="Q603" i="28" s="1"/>
  <c r="P601" i="28"/>
  <c r="Q601" i="28" s="1"/>
  <c r="P600" i="28"/>
  <c r="Q600" i="28" s="1"/>
  <c r="P598" i="28"/>
  <c r="Q598" i="28" s="1"/>
  <c r="P595" i="28"/>
  <c r="Q595" i="28" s="1"/>
  <c r="P572" i="28"/>
  <c r="Q572" i="28" s="1"/>
  <c r="P568" i="28"/>
  <c r="Q568" i="28" s="1"/>
  <c r="P566" i="28"/>
  <c r="Q566" i="28" s="1"/>
  <c r="P563" i="28"/>
  <c r="Q563" i="28" s="1"/>
  <c r="P540" i="28"/>
  <c r="Q540" i="28" s="1"/>
  <c r="P536" i="28"/>
  <c r="Q536" i="28" s="1"/>
  <c r="P534" i="28"/>
  <c r="Q534" i="28" s="1"/>
  <c r="P531" i="28"/>
  <c r="Q531" i="28" s="1"/>
  <c r="P508" i="28"/>
  <c r="Q508" i="28" s="1"/>
  <c r="P504" i="28"/>
  <c r="Q504" i="28" s="1"/>
  <c r="P502" i="28"/>
  <c r="Q502" i="28" s="1"/>
  <c r="P499" i="28"/>
  <c r="Q499" i="28" s="1"/>
  <c r="P480" i="28"/>
  <c r="Q480" i="28" s="1"/>
  <c r="P476" i="28"/>
  <c r="Q476" i="28" s="1"/>
  <c r="P474" i="28"/>
  <c r="Q474" i="28" s="1"/>
  <c r="P471" i="28"/>
  <c r="Q471" i="28" s="1"/>
  <c r="P455" i="28"/>
  <c r="Q455" i="28" s="1"/>
  <c r="P453" i="28"/>
  <c r="Q453" i="28" s="1"/>
  <c r="P452" i="28"/>
  <c r="Q452" i="28" s="1"/>
  <c r="P439" i="28"/>
  <c r="Q439" i="28" s="1"/>
  <c r="P437" i="28"/>
  <c r="Q437" i="28" s="1"/>
  <c r="P436" i="28"/>
  <c r="Q436" i="28" s="1"/>
  <c r="P420" i="28"/>
  <c r="Q420" i="28" s="1"/>
  <c r="P416" i="28"/>
  <c r="Q416" i="28" s="1"/>
  <c r="P414" i="28"/>
  <c r="Q414" i="28" s="1"/>
  <c r="P411" i="28"/>
  <c r="Q411" i="28" s="1"/>
  <c r="P396" i="28"/>
  <c r="Q396" i="28" s="1"/>
  <c r="P393" i="28"/>
  <c r="Q393" i="28" s="1"/>
  <c r="P392" i="28"/>
  <c r="Q392" i="28" s="1"/>
  <c r="P379" i="28"/>
  <c r="Q379" i="28" s="1"/>
  <c r="P377" i="28"/>
  <c r="Q377" i="28" s="1"/>
  <c r="P376" i="28"/>
  <c r="Q376" i="28" s="1"/>
  <c r="P361" i="28"/>
  <c r="Q361" i="28" s="1"/>
  <c r="P359" i="28"/>
  <c r="Q359" i="28" s="1"/>
  <c r="P358" i="28"/>
  <c r="Q358" i="28" s="1"/>
  <c r="P345" i="28"/>
  <c r="Q345" i="28" s="1"/>
  <c r="P343" i="28"/>
  <c r="Q343" i="28" s="1"/>
  <c r="P342" i="28"/>
  <c r="Q342" i="28" s="1"/>
  <c r="P341" i="28"/>
  <c r="Q341" i="28" s="1"/>
  <c r="P339" i="28"/>
  <c r="Q339" i="28" s="1"/>
  <c r="P338" i="28"/>
  <c r="Q338" i="28" s="1"/>
  <c r="P240" i="28"/>
  <c r="Q240" i="28" s="1"/>
  <c r="P238" i="28"/>
  <c r="Q238" i="28" s="1"/>
  <c r="P237" i="28"/>
  <c r="Q237" i="28" s="1"/>
  <c r="P224" i="28"/>
  <c r="Q224" i="28" s="1"/>
  <c r="P222" i="28"/>
  <c r="Q222" i="28" s="1"/>
  <c r="P221" i="28"/>
  <c r="Q221" i="28" s="1"/>
  <c r="P208" i="28"/>
  <c r="Q208" i="28" s="1"/>
  <c r="P206" i="28"/>
  <c r="Q206" i="28" s="1"/>
  <c r="P205" i="28"/>
  <c r="Q205" i="28" s="1"/>
  <c r="P189" i="28"/>
  <c r="Q189" i="28" s="1"/>
  <c r="P187" i="28"/>
  <c r="Q187" i="28" s="1"/>
  <c r="P186" i="28"/>
  <c r="Q186" i="28" s="1"/>
  <c r="P173" i="28"/>
  <c r="Q173" i="28" s="1"/>
  <c r="P171" i="28"/>
  <c r="Q171" i="28" s="1"/>
  <c r="P170" i="28"/>
  <c r="Q170" i="28" s="1"/>
  <c r="P157" i="28"/>
  <c r="Q157" i="28" s="1"/>
  <c r="P155" i="28"/>
  <c r="Q155" i="28" s="1"/>
  <c r="P154" i="28"/>
  <c r="Q154" i="28" s="1"/>
  <c r="P141" i="28"/>
  <c r="Q141" i="28" s="1"/>
  <c r="P139" i="28"/>
  <c r="Q139" i="28" s="1"/>
  <c r="P138" i="28"/>
  <c r="Q138" i="28" s="1"/>
  <c r="P125" i="28"/>
  <c r="Q125" i="28" s="1"/>
  <c r="P123" i="28"/>
  <c r="Q123" i="28" s="1"/>
  <c r="P122" i="28"/>
  <c r="Q122" i="28" s="1"/>
  <c r="P109" i="28"/>
  <c r="Q109" i="28" s="1"/>
  <c r="P107" i="28"/>
  <c r="Q107" i="28" s="1"/>
  <c r="P105" i="28"/>
  <c r="Q105" i="28" s="1"/>
  <c r="P92" i="28"/>
  <c r="Q92" i="28" s="1"/>
  <c r="P90" i="28"/>
  <c r="Q90" i="28" s="1"/>
  <c r="P89" i="28"/>
  <c r="Q89" i="28" s="1"/>
  <c r="P76" i="28"/>
  <c r="Q76" i="28" s="1"/>
  <c r="P74" i="28"/>
  <c r="Q74" i="28" s="1"/>
  <c r="P73" i="28"/>
  <c r="Q73" i="28" s="1"/>
  <c r="P60" i="28"/>
  <c r="Q60" i="28" s="1"/>
  <c r="P58" i="28"/>
  <c r="Q58" i="28" s="1"/>
  <c r="P57" i="28"/>
  <c r="Q57" i="28" s="1"/>
  <c r="P44" i="28"/>
  <c r="Q44" i="28" s="1"/>
  <c r="P42" i="28"/>
  <c r="Q42" i="28" s="1"/>
  <c r="P41" i="28"/>
  <c r="Q41" i="28" s="1"/>
  <c r="B13" i="28"/>
  <c r="P776" i="28"/>
  <c r="Q776" i="28" s="1"/>
  <c r="P775" i="28"/>
  <c r="Q775" i="28" s="1"/>
  <c r="P766" i="28"/>
  <c r="Q766" i="28" s="1"/>
  <c r="P765" i="28"/>
  <c r="Q765" i="28" s="1"/>
  <c r="P763" i="28"/>
  <c r="Q763" i="28" s="1"/>
  <c r="P761" i="28"/>
  <c r="Q761" i="28" s="1"/>
  <c r="P746" i="28"/>
  <c r="Q746" i="28" s="1"/>
  <c r="P745" i="28"/>
  <c r="Q745" i="28" s="1"/>
  <c r="P738" i="28"/>
  <c r="Q738" i="28" s="1"/>
  <c r="P737" i="28"/>
  <c r="Q737" i="28" s="1"/>
  <c r="P735" i="28"/>
  <c r="Q735" i="28" s="1"/>
  <c r="P733" i="28"/>
  <c r="Q733" i="28" s="1"/>
  <c r="P722" i="28"/>
  <c r="Q722" i="28" s="1"/>
  <c r="P721" i="28"/>
  <c r="Q721" i="28" s="1"/>
  <c r="P718" i="28"/>
  <c r="Q718" i="28" s="1"/>
  <c r="P716" i="28"/>
  <c r="Q716" i="28" s="1"/>
  <c r="P706" i="28"/>
  <c r="Q706" i="28" s="1"/>
  <c r="P704" i="28"/>
  <c r="Q704" i="28" s="1"/>
  <c r="P701" i="28"/>
  <c r="Q701" i="28" s="1"/>
  <c r="P699" i="28"/>
  <c r="Q699" i="28" s="1"/>
  <c r="P697" i="28"/>
  <c r="Q697" i="28" s="1"/>
  <c r="P686" i="28"/>
  <c r="Q686" i="28" s="1"/>
  <c r="P684" i="28"/>
  <c r="Q684" i="28" s="1"/>
  <c r="P675" i="28"/>
  <c r="Q675" i="28" s="1"/>
  <c r="P674" i="28"/>
  <c r="Q674" i="28" s="1"/>
  <c r="P667" i="28"/>
  <c r="Q667" i="28" s="1"/>
  <c r="P666" i="28"/>
  <c r="Q666" i="28" s="1"/>
  <c r="P659" i="28"/>
  <c r="Q659" i="28" s="1"/>
  <c r="P658" i="28"/>
  <c r="Q658" i="28" s="1"/>
  <c r="P643" i="28"/>
  <c r="Q643" i="28" s="1"/>
  <c r="P642" i="28"/>
  <c r="Q642" i="28" s="1"/>
  <c r="P639" i="28"/>
  <c r="Q639" i="28" s="1"/>
  <c r="P637" i="28"/>
  <c r="Q637" i="28" s="1"/>
  <c r="P631" i="28"/>
  <c r="Q631" i="28" s="1"/>
  <c r="P630" i="28"/>
  <c r="Q630" i="28" s="1"/>
  <c r="P619" i="28"/>
  <c r="Q619" i="28" s="1"/>
  <c r="P618" i="28"/>
  <c r="Q618" i="28" s="1"/>
  <c r="P615" i="28"/>
  <c r="Q615" i="28" s="1"/>
  <c r="P613" i="28"/>
  <c r="Q613" i="28" s="1"/>
  <c r="P607" i="28"/>
  <c r="Q607" i="28" s="1"/>
  <c r="P606" i="28"/>
  <c r="Q606" i="28" s="1"/>
  <c r="P604" i="28"/>
  <c r="Q604" i="28" s="1"/>
  <c r="P592" i="28"/>
  <c r="Q592" i="28" s="1"/>
  <c r="P590" i="28"/>
  <c r="Q590" i="28" s="1"/>
  <c r="P587" i="28"/>
  <c r="Q587" i="28" s="1"/>
  <c r="P576" i="28"/>
  <c r="Q576" i="28" s="1"/>
  <c r="P574" i="28"/>
  <c r="Q574" i="28" s="1"/>
  <c r="P571" i="28"/>
  <c r="Q571" i="28" s="1"/>
  <c r="P560" i="28"/>
  <c r="Q560" i="28" s="1"/>
  <c r="P558" i="28"/>
  <c r="Q558" i="28" s="1"/>
  <c r="P555" i="28"/>
  <c r="Q555" i="28" s="1"/>
  <c r="P544" i="28"/>
  <c r="Q544" i="28" s="1"/>
  <c r="P542" i="28"/>
  <c r="Q542" i="28" s="1"/>
  <c r="P539" i="28"/>
  <c r="Q539" i="28" s="1"/>
  <c r="P528" i="28"/>
  <c r="Q528" i="28" s="1"/>
  <c r="P526" i="28"/>
  <c r="Q526" i="28" s="1"/>
  <c r="P523" i="28"/>
  <c r="Q523" i="28" s="1"/>
  <c r="P512" i="28"/>
  <c r="Q512" i="28" s="1"/>
  <c r="P510" i="28"/>
  <c r="Q510" i="28" s="1"/>
  <c r="P507" i="28"/>
  <c r="Q507" i="28" s="1"/>
  <c r="P496" i="28"/>
  <c r="Q496" i="28" s="1"/>
  <c r="P494" i="28"/>
  <c r="Q494" i="28" s="1"/>
  <c r="P484" i="28"/>
  <c r="Q484" i="28" s="1"/>
  <c r="P482" i="28"/>
  <c r="Q482" i="28" s="1"/>
  <c r="P479" i="28"/>
  <c r="Q479" i="28" s="1"/>
  <c r="P468" i="28"/>
  <c r="Q468" i="28" s="1"/>
  <c r="P466" i="28"/>
  <c r="Q466" i="28" s="1"/>
  <c r="P463" i="28"/>
  <c r="Q463" i="28" s="1"/>
  <c r="P457" i="28"/>
  <c r="Q457" i="28" s="1"/>
  <c r="P456" i="28"/>
  <c r="Q456" i="28" s="1"/>
  <c r="P449" i="28"/>
  <c r="Q449" i="28" s="1"/>
  <c r="P448" i="28"/>
  <c r="Q448" i="28" s="1"/>
  <c r="P441" i="28"/>
  <c r="Q441" i="28" s="1"/>
  <c r="P440" i="28"/>
  <c r="Q440" i="28" s="1"/>
  <c r="P433" i="28"/>
  <c r="Q433" i="28" s="1"/>
  <c r="P432" i="28"/>
  <c r="Q432" i="28" s="1"/>
  <c r="P424" i="28"/>
  <c r="Q424" i="28" s="1"/>
  <c r="P422" i="28"/>
  <c r="Q422" i="28" s="1"/>
  <c r="P419" i="28"/>
  <c r="Q419" i="28" s="1"/>
  <c r="P408" i="28"/>
  <c r="Q408" i="28" s="1"/>
  <c r="P406" i="28"/>
  <c r="Q406" i="28" s="1"/>
  <c r="P398" i="28"/>
  <c r="Q398" i="28" s="1"/>
  <c r="P397" i="28"/>
  <c r="Q397" i="28" s="1"/>
  <c r="P395" i="28"/>
  <c r="Q395" i="28" s="1"/>
  <c r="P389" i="28"/>
  <c r="Q389" i="28" s="1"/>
  <c r="P388" i="28"/>
  <c r="Q388" i="28" s="1"/>
  <c r="P381" i="28"/>
  <c r="Q381" i="28" s="1"/>
  <c r="P380" i="28"/>
  <c r="Q380" i="28" s="1"/>
  <c r="P373" i="28"/>
  <c r="Q373" i="28" s="1"/>
  <c r="P372" i="28"/>
  <c r="Q372" i="28" s="1"/>
  <c r="P365" i="28"/>
  <c r="Q365" i="28" s="1"/>
  <c r="P364" i="28"/>
  <c r="Q364" i="28" s="1"/>
  <c r="P363" i="28"/>
  <c r="Q363" i="28" s="1"/>
  <c r="P362" i="28"/>
  <c r="Q362" i="28" s="1"/>
  <c r="P355" i="28"/>
  <c r="Q355" i="28" s="1"/>
  <c r="P354" i="28"/>
  <c r="Q354" i="28" s="1"/>
  <c r="P347" i="28"/>
  <c r="Q347" i="28" s="1"/>
  <c r="P346" i="28"/>
  <c r="Q346" i="28" s="1"/>
  <c r="P250" i="28"/>
  <c r="Q250" i="28" s="1"/>
  <c r="P249" i="28"/>
  <c r="Q249" i="28" s="1"/>
  <c r="P242" i="28"/>
  <c r="Q242" i="28" s="1"/>
  <c r="P241" i="28"/>
  <c r="Q241" i="28" s="1"/>
  <c r="P234" i="28"/>
  <c r="Q234" i="28" s="1"/>
  <c r="P233" i="28"/>
  <c r="Q233" i="28" s="1"/>
  <c r="P226" i="28"/>
  <c r="Q226" i="28" s="1"/>
  <c r="P225" i="28"/>
  <c r="Q225" i="28" s="1"/>
  <c r="P218" i="28"/>
  <c r="Q218" i="28" s="1"/>
  <c r="P217" i="28"/>
  <c r="Q217" i="28" s="1"/>
  <c r="P210" i="28"/>
  <c r="Q210" i="28" s="1"/>
  <c r="P209" i="28"/>
  <c r="Q209" i="28" s="1"/>
  <c r="P202" i="28"/>
  <c r="Q202" i="28" s="1"/>
  <c r="P201" i="28"/>
  <c r="Q201" i="28" s="1"/>
  <c r="P191" i="28"/>
  <c r="Q191" i="28" s="1"/>
  <c r="P190" i="28"/>
  <c r="Q190" i="28" s="1"/>
  <c r="P183" i="28"/>
  <c r="Q183" i="28" s="1"/>
  <c r="P182" i="28"/>
  <c r="Q182" i="28" s="1"/>
  <c r="P175" i="28"/>
  <c r="Q175" i="28" s="1"/>
  <c r="P174" i="28"/>
  <c r="Q174" i="28" s="1"/>
  <c r="P167" i="28"/>
  <c r="Q167" i="28" s="1"/>
  <c r="P166" i="28"/>
  <c r="Q166" i="28" s="1"/>
  <c r="P159" i="28"/>
  <c r="Q159" i="28" s="1"/>
  <c r="P158" i="28"/>
  <c r="Q158" i="28" s="1"/>
  <c r="P151" i="28"/>
  <c r="Q151" i="28" s="1"/>
  <c r="P150" i="28"/>
  <c r="Q150" i="28" s="1"/>
  <c r="P143" i="28"/>
  <c r="Q143" i="28" s="1"/>
  <c r="P142" i="28"/>
  <c r="Q142" i="28" s="1"/>
  <c r="P135" i="28"/>
  <c r="Q135" i="28" s="1"/>
  <c r="P134" i="28"/>
  <c r="Q134" i="28" s="1"/>
  <c r="P127" i="28"/>
  <c r="Q127" i="28" s="1"/>
  <c r="P126" i="28"/>
  <c r="Q126" i="28" s="1"/>
  <c r="P119" i="28"/>
  <c r="Q119" i="28" s="1"/>
  <c r="P118" i="28"/>
  <c r="Q118" i="28" s="1"/>
  <c r="P111" i="28"/>
  <c r="Q111" i="28" s="1"/>
  <c r="P110" i="28"/>
  <c r="Q110" i="28" s="1"/>
  <c r="P102" i="28"/>
  <c r="Q102" i="28" s="1"/>
  <c r="P101" i="28"/>
  <c r="Q101" i="28" s="1"/>
  <c r="P94" i="28"/>
  <c r="Q94" i="28" s="1"/>
  <c r="P93" i="28"/>
  <c r="Q93" i="28" s="1"/>
  <c r="P86" i="28"/>
  <c r="Q86" i="28" s="1"/>
  <c r="P85" i="28"/>
  <c r="Q85" i="28" s="1"/>
  <c r="P78" i="28"/>
  <c r="Q78" i="28" s="1"/>
  <c r="P77" i="28"/>
  <c r="Q77" i="28" s="1"/>
  <c r="P70" i="28"/>
  <c r="Q70" i="28" s="1"/>
  <c r="P69" i="28"/>
  <c r="Q69" i="28" s="1"/>
  <c r="P62" i="28"/>
  <c r="Q62" i="28" s="1"/>
  <c r="P61" i="28"/>
  <c r="Q61" i="28" s="1"/>
  <c r="P54" i="28"/>
  <c r="Q54" i="28" s="1"/>
  <c r="P53" i="28"/>
  <c r="Q53" i="28" s="1"/>
  <c r="P46" i="28"/>
  <c r="Q46" i="28" s="1"/>
  <c r="P45" i="28"/>
  <c r="Q45" i="28" s="1"/>
  <c r="P38" i="28"/>
  <c r="Q38" i="28" s="1"/>
  <c r="P37" i="28"/>
  <c r="Q37" i="28" s="1"/>
  <c r="P30" i="28"/>
  <c r="Q30" i="28" s="1"/>
  <c r="P29" i="28"/>
  <c r="Q29" i="28" s="1"/>
  <c r="P777" i="28"/>
  <c r="Q777" i="28" s="1"/>
  <c r="P773" i="28"/>
  <c r="Q773" i="28" s="1"/>
  <c r="P770" i="28"/>
  <c r="Q770" i="28" s="1"/>
  <c r="P767" i="28"/>
  <c r="Q767" i="28" s="1"/>
  <c r="P764" i="28"/>
  <c r="Q764" i="28" s="1"/>
  <c r="P762" i="28"/>
  <c r="Q762" i="28" s="1"/>
  <c r="P759" i="28"/>
  <c r="Q759" i="28" s="1"/>
  <c r="P756" i="28"/>
  <c r="Q756" i="28" s="1"/>
  <c r="P754" i="28"/>
  <c r="Q754" i="28" s="1"/>
  <c r="P752" i="28"/>
  <c r="Q752" i="28" s="1"/>
  <c r="P747" i="28"/>
  <c r="Q747" i="28" s="1"/>
  <c r="P743" i="28"/>
  <c r="Q743" i="28" s="1"/>
  <c r="P739" i="28"/>
  <c r="Q739" i="28" s="1"/>
  <c r="P736" i="28"/>
  <c r="Q736" i="28" s="1"/>
  <c r="P732" i="28"/>
  <c r="Q732" i="28" s="1"/>
  <c r="P729" i="28"/>
  <c r="Q729" i="28" s="1"/>
  <c r="P724" i="28"/>
  <c r="Q724" i="28" s="1"/>
  <c r="P719" i="28"/>
  <c r="Q719" i="28" s="1"/>
  <c r="P717" i="28"/>
  <c r="Q717" i="28" s="1"/>
  <c r="P715" i="28"/>
  <c r="Q715" i="28" s="1"/>
  <c r="P713" i="28"/>
  <c r="Q713" i="28" s="1"/>
  <c r="P709" i="28"/>
  <c r="Q709" i="28" s="1"/>
  <c r="P707" i="28"/>
  <c r="Q707" i="28" s="1"/>
  <c r="P705" i="28"/>
  <c r="Q705" i="28" s="1"/>
  <c r="P702" i="28"/>
  <c r="Q702" i="28" s="1"/>
  <c r="P700" i="28"/>
  <c r="Q700" i="28" s="1"/>
  <c r="P696" i="28"/>
  <c r="Q696" i="28" s="1"/>
  <c r="P693" i="28"/>
  <c r="Q693" i="28" s="1"/>
  <c r="P688" i="28"/>
  <c r="Q688" i="28" s="1"/>
  <c r="P685" i="28"/>
  <c r="Q685" i="28" s="1"/>
  <c r="P682" i="28"/>
  <c r="Q682" i="28" s="1"/>
  <c r="P678" i="28"/>
  <c r="Q678" i="28" s="1"/>
  <c r="P676" i="28"/>
  <c r="Q676" i="28" s="1"/>
  <c r="P672" i="28"/>
  <c r="Q672" i="28" s="1"/>
  <c r="P668" i="28"/>
  <c r="Q668" i="28" s="1"/>
  <c r="P664" i="28"/>
  <c r="Q664" i="28" s="1"/>
  <c r="P660" i="28"/>
  <c r="Q660" i="28" s="1"/>
  <c r="P656" i="28"/>
  <c r="Q656" i="28" s="1"/>
  <c r="P652" i="28"/>
  <c r="Q652" i="28" s="1"/>
  <c r="P650" i="28"/>
  <c r="Q650" i="28" s="1"/>
  <c r="P648" i="28"/>
  <c r="Q648" i="28" s="1"/>
  <c r="P646" i="28"/>
  <c r="Q646" i="28" s="1"/>
  <c r="P644" i="28"/>
  <c r="Q644" i="28" s="1"/>
  <c r="P640" i="28"/>
  <c r="Q640" i="28" s="1"/>
  <c r="P638" i="28"/>
  <c r="Q638" i="28" s="1"/>
  <c r="P636" i="28"/>
  <c r="Q636" i="28" s="1"/>
  <c r="P632" i="28"/>
  <c r="Q632" i="28" s="1"/>
  <c r="P628" i="28"/>
  <c r="Q628" i="28" s="1"/>
  <c r="P624" i="28"/>
  <c r="Q624" i="28" s="1"/>
  <c r="P622" i="28"/>
  <c r="Q622" i="28" s="1"/>
  <c r="P620" i="28"/>
  <c r="Q620" i="28" s="1"/>
  <c r="P616" i="28"/>
  <c r="Q616" i="28" s="1"/>
  <c r="P614" i="28"/>
  <c r="Q614" i="28" s="1"/>
  <c r="P612" i="28"/>
  <c r="Q612" i="28" s="1"/>
  <c r="P608" i="28"/>
  <c r="Q608" i="28" s="1"/>
  <c r="P605" i="28"/>
  <c r="Q605" i="28" s="1"/>
  <c r="P602" i="28"/>
  <c r="Q602" i="28" s="1"/>
  <c r="P599" i="28"/>
  <c r="Q599" i="28" s="1"/>
  <c r="P594" i="28"/>
  <c r="Q594" i="28" s="1"/>
  <c r="P591" i="28"/>
  <c r="Q591" i="28" s="1"/>
  <c r="P586" i="28"/>
  <c r="Q586" i="28" s="1"/>
  <c r="P583" i="28"/>
  <c r="Q583" i="28" s="1"/>
  <c r="P578" i="28"/>
  <c r="Q578" i="28" s="1"/>
  <c r="P575" i="28"/>
  <c r="Q575" i="28" s="1"/>
  <c r="P570" i="28"/>
  <c r="Q570" i="28" s="1"/>
  <c r="P567" i="28"/>
  <c r="Q567" i="28" s="1"/>
  <c r="P562" i="28"/>
  <c r="Q562" i="28" s="1"/>
  <c r="P559" i="28"/>
  <c r="Q559" i="28" s="1"/>
  <c r="P554" i="28"/>
  <c r="Q554" i="28" s="1"/>
  <c r="P551" i="28"/>
  <c r="Q551" i="28" s="1"/>
  <c r="P546" i="28"/>
  <c r="Q546" i="28" s="1"/>
  <c r="P543" i="28"/>
  <c r="Q543" i="28" s="1"/>
  <c r="P538" i="28"/>
  <c r="Q538" i="28" s="1"/>
  <c r="P535" i="28"/>
  <c r="Q535" i="28" s="1"/>
  <c r="P530" i="28"/>
  <c r="Q530" i="28" s="1"/>
  <c r="P527" i="28"/>
  <c r="Q527" i="28" s="1"/>
  <c r="P522" i="28"/>
  <c r="Q522" i="28" s="1"/>
  <c r="P519" i="28"/>
  <c r="Q519" i="28" s="1"/>
  <c r="P514" i="28"/>
  <c r="Q514" i="28" s="1"/>
  <c r="P511" i="28"/>
  <c r="Q511" i="28" s="1"/>
  <c r="P506" i="28"/>
  <c r="Q506" i="28" s="1"/>
  <c r="P503" i="28"/>
  <c r="Q503" i="28" s="1"/>
  <c r="P498" i="28"/>
  <c r="Q498" i="28" s="1"/>
  <c r="P495" i="28"/>
  <c r="Q495" i="28" s="1"/>
  <c r="P492" i="28"/>
  <c r="Q492" i="28" s="1"/>
  <c r="P486" i="28"/>
  <c r="Q486" i="28" s="1"/>
  <c r="P483" i="28"/>
  <c r="Q483" i="28" s="1"/>
  <c r="P478" i="28"/>
  <c r="Q478" i="28" s="1"/>
  <c r="P475" i="28"/>
  <c r="Q475" i="28" s="1"/>
  <c r="P470" i="28"/>
  <c r="Q470" i="28" s="1"/>
  <c r="P467" i="28"/>
  <c r="Q467" i="28" s="1"/>
  <c r="P462" i="28"/>
  <c r="Q462" i="28" s="1"/>
  <c r="P458" i="28"/>
  <c r="Q458" i="28" s="1"/>
  <c r="P454" i="28"/>
  <c r="Q454" i="28" s="1"/>
  <c r="P450" i="28"/>
  <c r="Q450" i="28" s="1"/>
  <c r="P446" i="28"/>
  <c r="Q446" i="28" s="1"/>
  <c r="P442" i="28"/>
  <c r="Q442" i="28" s="1"/>
  <c r="P438" i="28"/>
  <c r="Q438" i="28" s="1"/>
  <c r="P434" i="28"/>
  <c r="Q434" i="28" s="1"/>
  <c r="P430" i="28"/>
  <c r="Q430" i="28" s="1"/>
  <c r="P426" i="28"/>
  <c r="Q426" i="28" s="1"/>
  <c r="P423" i="28"/>
  <c r="Q423" i="28" s="1"/>
  <c r="P418" i="28"/>
  <c r="Q418" i="28" s="1"/>
  <c r="P415" i="28"/>
  <c r="Q415" i="28" s="1"/>
  <c r="P410" i="28"/>
  <c r="Q410" i="28" s="1"/>
  <c r="P407" i="28"/>
  <c r="Q407" i="28" s="1"/>
  <c r="P403" i="28"/>
  <c r="Q403" i="28" s="1"/>
  <c r="P399" i="28"/>
  <c r="Q399" i="28" s="1"/>
  <c r="P394" i="28"/>
  <c r="Q394" i="28" s="1"/>
  <c r="P390" i="28"/>
  <c r="Q390" i="28" s="1"/>
  <c r="P386" i="28"/>
  <c r="Q386" i="28" s="1"/>
  <c r="P382" i="28"/>
  <c r="Q382" i="28" s="1"/>
  <c r="P378" i="28"/>
  <c r="Q378" i="28" s="1"/>
  <c r="P374" i="28"/>
  <c r="Q374" i="28" s="1"/>
  <c r="P370" i="28"/>
  <c r="Q370" i="28" s="1"/>
  <c r="P366" i="28"/>
  <c r="Q366" i="28" s="1"/>
  <c r="P360" i="28"/>
  <c r="Q360" i="28" s="1"/>
  <c r="P356" i="28"/>
  <c r="Q356" i="28" s="1"/>
  <c r="P352" i="28"/>
  <c r="Q352" i="28" s="1"/>
  <c r="P348" i="28"/>
  <c r="Q348" i="28" s="1"/>
  <c r="P344" i="28"/>
  <c r="Q344" i="28" s="1"/>
  <c r="P340" i="28"/>
  <c r="Q340" i="28" s="1"/>
  <c r="P336" i="28"/>
  <c r="Q336" i="28" s="1"/>
  <c r="P335" i="28"/>
  <c r="Q335" i="28" s="1"/>
  <c r="P332" i="28"/>
  <c r="Q332" i="28" s="1"/>
  <c r="P331" i="28"/>
  <c r="Q331" i="28" s="1"/>
  <c r="P328" i="28"/>
  <c r="Q328" i="28" s="1"/>
  <c r="P327" i="28"/>
  <c r="Q327" i="28" s="1"/>
  <c r="P324" i="28"/>
  <c r="Q324" i="28" s="1"/>
  <c r="P323" i="28"/>
  <c r="Q323" i="28" s="1"/>
  <c r="P320" i="28"/>
  <c r="Q320" i="28" s="1"/>
  <c r="P319" i="28"/>
  <c r="Q319" i="28" s="1"/>
  <c r="P316" i="28"/>
  <c r="Q316" i="28" s="1"/>
  <c r="P315" i="28"/>
  <c r="Q315" i="28" s="1"/>
  <c r="P312" i="28"/>
  <c r="Q312" i="28" s="1"/>
  <c r="P311" i="28"/>
  <c r="Q311" i="28" s="1"/>
  <c r="P308" i="28"/>
  <c r="Q308" i="28" s="1"/>
  <c r="P307" i="28"/>
  <c r="Q307" i="28" s="1"/>
  <c r="P304" i="28"/>
  <c r="Q304" i="28" s="1"/>
  <c r="P303" i="28"/>
  <c r="Q303" i="28" s="1"/>
  <c r="P300" i="28"/>
  <c r="Q300" i="28" s="1"/>
  <c r="P299" i="28"/>
  <c r="Q299" i="28" s="1"/>
  <c r="P296" i="28"/>
  <c r="Q296" i="28" s="1"/>
  <c r="P295" i="28"/>
  <c r="Q295" i="28" s="1"/>
  <c r="P292" i="28"/>
  <c r="Q292" i="28" s="1"/>
  <c r="P291" i="28"/>
  <c r="Q291" i="28" s="1"/>
  <c r="P288" i="28"/>
  <c r="Q288" i="28" s="1"/>
  <c r="P287" i="28"/>
  <c r="Q287" i="28" s="1"/>
  <c r="P284" i="28"/>
  <c r="Q284" i="28" s="1"/>
  <c r="P283" i="28"/>
  <c r="Q283" i="28" s="1"/>
  <c r="P280" i="28"/>
  <c r="Q280" i="28" s="1"/>
  <c r="P279" i="28"/>
  <c r="Q279" i="28" s="1"/>
  <c r="P276" i="28"/>
  <c r="Q276" i="28" s="1"/>
  <c r="P275" i="28"/>
  <c r="Q275" i="28" s="1"/>
  <c r="P272" i="28"/>
  <c r="Q272" i="28" s="1"/>
  <c r="P271" i="28"/>
  <c r="Q271" i="28" s="1"/>
  <c r="P268" i="28"/>
  <c r="Q268" i="28" s="1"/>
  <c r="P267" i="28"/>
  <c r="Q267" i="28" s="1"/>
  <c r="P264" i="28"/>
  <c r="Q264" i="28" s="1"/>
  <c r="P263" i="28"/>
  <c r="Q263" i="28" s="1"/>
  <c r="P260" i="28"/>
  <c r="Q260" i="28" s="1"/>
  <c r="P259" i="28"/>
  <c r="Q259" i="28" s="1"/>
  <c r="P256" i="28"/>
  <c r="Q256" i="28" s="1"/>
  <c r="P255" i="28"/>
  <c r="Q255" i="28" s="1"/>
  <c r="P252" i="28"/>
  <c r="Q252" i="28" s="1"/>
  <c r="P251" i="28"/>
  <c r="Q251" i="28" s="1"/>
  <c r="P247" i="28"/>
  <c r="Q247" i="28" s="1"/>
  <c r="P243" i="28"/>
  <c r="Q243" i="28" s="1"/>
  <c r="P239" i="28"/>
  <c r="Q239" i="28" s="1"/>
  <c r="P235" i="28"/>
  <c r="Q235" i="28" s="1"/>
  <c r="P231" i="28"/>
  <c r="Q231" i="28" s="1"/>
  <c r="P227" i="28"/>
  <c r="Q227" i="28" s="1"/>
  <c r="P223" i="28"/>
  <c r="Q223" i="28" s="1"/>
  <c r="P219" i="28"/>
  <c r="Q219" i="28" s="1"/>
  <c r="P215" i="28"/>
  <c r="Q215" i="28" s="1"/>
  <c r="P211" i="28"/>
  <c r="Q211" i="28" s="1"/>
  <c r="P207" i="28"/>
  <c r="Q207" i="28" s="1"/>
  <c r="P203" i="28"/>
  <c r="Q203" i="28" s="1"/>
  <c r="P199" i="28"/>
  <c r="Q199" i="28" s="1"/>
  <c r="P198" i="28"/>
  <c r="Q198" i="28" s="1"/>
  <c r="P196" i="28"/>
  <c r="Q196" i="28" s="1"/>
  <c r="P192" i="28"/>
  <c r="Q192" i="28" s="1"/>
  <c r="P188" i="28"/>
  <c r="Q188" i="28" s="1"/>
  <c r="P184" i="28"/>
  <c r="Q184" i="28" s="1"/>
  <c r="P180" i="28"/>
  <c r="Q180" i="28" s="1"/>
  <c r="P176" i="28"/>
  <c r="Q176" i="28" s="1"/>
  <c r="P172" i="28"/>
  <c r="Q172" i="28" s="1"/>
  <c r="P168" i="28"/>
  <c r="Q168" i="28" s="1"/>
  <c r="P164" i="28"/>
  <c r="Q164" i="28" s="1"/>
  <c r="P160" i="28"/>
  <c r="Q160" i="28" s="1"/>
  <c r="P156" i="28"/>
  <c r="Q156" i="28" s="1"/>
  <c r="P152" i="28"/>
  <c r="Q152" i="28" s="1"/>
  <c r="P148" i="28"/>
  <c r="Q148" i="28" s="1"/>
  <c r="P144" i="28"/>
  <c r="Q144" i="28" s="1"/>
  <c r="P140" i="28"/>
  <c r="Q140" i="28" s="1"/>
  <c r="P136" i="28"/>
  <c r="Q136" i="28" s="1"/>
  <c r="P132" i="28"/>
  <c r="Q132" i="28" s="1"/>
  <c r="P128" i="28"/>
  <c r="Q128" i="28" s="1"/>
  <c r="P124" i="28"/>
  <c r="Q124" i="28" s="1"/>
  <c r="P120" i="28"/>
  <c r="Q120" i="28" s="1"/>
  <c r="P116" i="28"/>
  <c r="Q116" i="28" s="1"/>
  <c r="P112" i="28"/>
  <c r="Q112" i="28" s="1"/>
  <c r="P108" i="28"/>
  <c r="Q108" i="28" s="1"/>
  <c r="P106" i="28"/>
  <c r="Q106" i="28" s="1"/>
  <c r="P103" i="28"/>
  <c r="Q103" i="28" s="1"/>
  <c r="P99" i="28"/>
  <c r="Q99" i="28" s="1"/>
  <c r="P95" i="28"/>
  <c r="Q95" i="28" s="1"/>
  <c r="P91" i="28"/>
  <c r="Q91" i="28" s="1"/>
  <c r="P87" i="28"/>
  <c r="Q87" i="28" s="1"/>
  <c r="P83" i="28"/>
  <c r="Q83" i="28" s="1"/>
  <c r="P79" i="28"/>
  <c r="Q79" i="28" s="1"/>
  <c r="P75" i="28"/>
  <c r="Q75" i="28" s="1"/>
  <c r="P71" i="28"/>
  <c r="Q71" i="28" s="1"/>
  <c r="P67" i="28"/>
  <c r="Q67" i="28" s="1"/>
  <c r="P63" i="28"/>
  <c r="Q63" i="28" s="1"/>
  <c r="P59" i="28"/>
  <c r="Q59" i="28" s="1"/>
  <c r="P55" i="28"/>
  <c r="Q55" i="28" s="1"/>
  <c r="P51" i="28"/>
  <c r="Q51" i="28" s="1"/>
  <c r="P47" i="28"/>
  <c r="Q47" i="28" s="1"/>
  <c r="P43" i="28"/>
  <c r="Q43" i="28" s="1"/>
  <c r="P39" i="28"/>
  <c r="Q39" i="28" s="1"/>
  <c r="P35" i="28"/>
  <c r="Q35" i="28" s="1"/>
  <c r="P31" i="28"/>
  <c r="Q31" i="28" s="1"/>
  <c r="P731" i="28"/>
  <c r="Q731" i="28" s="1"/>
  <c r="P727" i="28"/>
  <c r="Q727" i="28" s="1"/>
  <c r="P723" i="28"/>
  <c r="Q723" i="28" s="1"/>
  <c r="P711" i="28"/>
  <c r="Q711" i="28" s="1"/>
  <c r="P703" i="28"/>
  <c r="Q703" i="28" s="1"/>
  <c r="P695" i="28"/>
  <c r="Q695" i="28" s="1"/>
  <c r="P691" i="28"/>
  <c r="Q691" i="28" s="1"/>
  <c r="P687" i="28"/>
  <c r="Q687" i="28" s="1"/>
  <c r="P597" i="28"/>
  <c r="Q597" i="28" s="1"/>
  <c r="P593" i="28"/>
  <c r="Q593" i="28" s="1"/>
  <c r="P589" i="28"/>
  <c r="Q589" i="28" s="1"/>
  <c r="P585" i="28"/>
  <c r="Q585" i="28" s="1"/>
  <c r="P581" i="28"/>
  <c r="Q581" i="28" s="1"/>
  <c r="P577" i="28"/>
  <c r="Q577" i="28" s="1"/>
  <c r="P573" i="28"/>
  <c r="Q573" i="28" s="1"/>
  <c r="P569" i="28"/>
  <c r="Q569" i="28" s="1"/>
  <c r="P565" i="28"/>
  <c r="Q565" i="28" s="1"/>
  <c r="P561" i="28"/>
  <c r="Q561" i="28" s="1"/>
  <c r="P557" i="28"/>
  <c r="Q557" i="28" s="1"/>
  <c r="P553" i="28"/>
  <c r="Q553" i="28" s="1"/>
  <c r="P549" i="28"/>
  <c r="Q549" i="28" s="1"/>
  <c r="P545" i="28"/>
  <c r="Q545" i="28" s="1"/>
  <c r="P541" i="28"/>
  <c r="Q541" i="28" s="1"/>
  <c r="P537" i="28"/>
  <c r="Q537" i="28" s="1"/>
  <c r="P533" i="28"/>
  <c r="Q533" i="28" s="1"/>
  <c r="P529" i="28"/>
  <c r="Q529" i="28" s="1"/>
  <c r="P525" i="28"/>
  <c r="Q525" i="28" s="1"/>
  <c r="P521" i="28"/>
  <c r="Q521" i="28" s="1"/>
  <c r="P517" i="28"/>
  <c r="Q517" i="28" s="1"/>
  <c r="P513" i="28"/>
  <c r="Q513" i="28" s="1"/>
  <c r="P509" i="28"/>
  <c r="Q509" i="28" s="1"/>
  <c r="P505" i="28"/>
  <c r="Q505" i="28" s="1"/>
  <c r="P501" i="28"/>
  <c r="Q501" i="28" s="1"/>
  <c r="P497" i="28"/>
  <c r="Q497" i="28" s="1"/>
  <c r="P489" i="28"/>
  <c r="Q489" i="28" s="1"/>
  <c r="P485" i="28"/>
  <c r="Q485" i="28" s="1"/>
  <c r="P481" i="28"/>
  <c r="Q481" i="28" s="1"/>
  <c r="P477" i="28"/>
  <c r="Q477" i="28" s="1"/>
  <c r="P473" i="28"/>
  <c r="Q473" i="28" s="1"/>
  <c r="P469" i="28"/>
  <c r="Q469" i="28" s="1"/>
  <c r="P465" i="28"/>
  <c r="Q465" i="28" s="1"/>
  <c r="P425" i="28"/>
  <c r="Q425" i="28" s="1"/>
  <c r="P421" i="28"/>
  <c r="Q421" i="28" s="1"/>
  <c r="P417" i="28"/>
  <c r="Q417" i="28" s="1"/>
  <c r="P413" i="28"/>
  <c r="Q413" i="28" s="1"/>
  <c r="P409" i="28"/>
  <c r="Q409" i="28" s="1"/>
  <c r="P405" i="28"/>
  <c r="Q405" i="28" s="1"/>
  <c r="P334" i="28"/>
  <c r="Q334" i="28" s="1"/>
  <c r="P333" i="28"/>
  <c r="Q333" i="28" s="1"/>
  <c r="P330" i="28"/>
  <c r="Q330" i="28" s="1"/>
  <c r="P329" i="28"/>
  <c r="Q329" i="28" s="1"/>
  <c r="P326" i="28"/>
  <c r="Q326" i="28" s="1"/>
  <c r="P325" i="28"/>
  <c r="Q325" i="28" s="1"/>
  <c r="P322" i="28"/>
  <c r="Q322" i="28" s="1"/>
  <c r="P321" i="28"/>
  <c r="Q321" i="28" s="1"/>
  <c r="P318" i="28"/>
  <c r="Q318" i="28" s="1"/>
  <c r="P317" i="28"/>
  <c r="Q317" i="28" s="1"/>
  <c r="P314" i="28"/>
  <c r="Q314" i="28" s="1"/>
  <c r="P313" i="28"/>
  <c r="Q313" i="28" s="1"/>
  <c r="P310" i="28"/>
  <c r="Q310" i="28" s="1"/>
  <c r="P309" i="28"/>
  <c r="Q309" i="28" s="1"/>
  <c r="P306" i="28"/>
  <c r="Q306" i="28" s="1"/>
  <c r="P305" i="28"/>
  <c r="Q305" i="28" s="1"/>
  <c r="P302" i="28"/>
  <c r="Q302" i="28" s="1"/>
  <c r="P301" i="28"/>
  <c r="Q301" i="28" s="1"/>
  <c r="P298" i="28"/>
  <c r="Q298" i="28" s="1"/>
  <c r="P297" i="28"/>
  <c r="Q297" i="28" s="1"/>
  <c r="P294" i="28"/>
  <c r="Q294" i="28" s="1"/>
  <c r="P293" i="28"/>
  <c r="Q293" i="28" s="1"/>
  <c r="P290" i="28"/>
  <c r="Q290" i="28" s="1"/>
  <c r="P289" i="28"/>
  <c r="Q289" i="28" s="1"/>
  <c r="P286" i="28"/>
  <c r="Q286" i="28" s="1"/>
  <c r="P285" i="28"/>
  <c r="Q285" i="28" s="1"/>
  <c r="P282" i="28"/>
  <c r="Q282" i="28" s="1"/>
  <c r="P281" i="28"/>
  <c r="Q281" i="28" s="1"/>
  <c r="P278" i="28"/>
  <c r="Q278" i="28" s="1"/>
  <c r="P277" i="28"/>
  <c r="Q277" i="28" s="1"/>
  <c r="P274" i="28"/>
  <c r="Q274" i="28" s="1"/>
  <c r="P273" i="28"/>
  <c r="Q273" i="28" s="1"/>
  <c r="P270" i="28"/>
  <c r="Q270" i="28" s="1"/>
  <c r="P269" i="28"/>
  <c r="Q269" i="28" s="1"/>
  <c r="P266" i="28"/>
  <c r="Q266" i="28" s="1"/>
  <c r="P265" i="28"/>
  <c r="Q265" i="28" s="1"/>
  <c r="P262" i="28"/>
  <c r="Q262" i="28" s="1"/>
  <c r="P261" i="28"/>
  <c r="Q261" i="28" s="1"/>
  <c r="P258" i="28"/>
  <c r="Q258" i="28" s="1"/>
  <c r="P257" i="28"/>
  <c r="Q257" i="28" s="1"/>
  <c r="P254" i="28"/>
  <c r="Q254" i="28" s="1"/>
  <c r="P253" i="28"/>
  <c r="Q253" i="28" s="1"/>
  <c r="C9" i="28" a="1"/>
  <c r="C9" i="28" s="1"/>
  <c r="C10" i="28" a="1"/>
  <c r="C10" i="28" s="1"/>
  <c r="D10" i="28" s="1"/>
  <c r="E11" i="28" a="1"/>
  <c r="E11" i="28" s="1"/>
  <c r="F11" i="28" s="1"/>
  <c r="E10" i="28" a="1"/>
  <c r="E10" i="28" s="1"/>
  <c r="C11" i="28" a="1"/>
  <c r="C11" i="28" s="1"/>
  <c r="D11" i="28" s="1"/>
  <c r="B25" i="28" a="1"/>
  <c r="B25" i="28" s="1"/>
  <c r="D23" i="28" a="1"/>
  <c r="D23" i="28" s="1"/>
  <c r="D22" i="28" a="1"/>
  <c r="D22" i="28" s="1"/>
  <c r="D19" i="28" a="1"/>
  <c r="D19" i="28" s="1"/>
  <c r="B18" i="28" a="1"/>
  <c r="B18" i="28" s="1"/>
  <c r="B17" i="28" a="1"/>
  <c r="B17" i="28" s="1"/>
  <c r="B16" i="28" a="1"/>
  <c r="B16" i="28" s="1"/>
  <c r="D25" i="28" a="1"/>
  <c r="D25" i="28" s="1"/>
  <c r="B24" i="28" a="1"/>
  <c r="B24" i="28" s="1"/>
  <c r="B23" i="28" a="1"/>
  <c r="B23" i="28" s="1"/>
  <c r="B22" i="28" a="1"/>
  <c r="B22" i="28" s="1"/>
  <c r="B19" i="28" a="1"/>
  <c r="B19" i="28" s="1"/>
  <c r="D17" i="28" a="1"/>
  <c r="D17" i="28" s="1"/>
  <c r="D16" i="28" a="1"/>
  <c r="D16" i="28" s="1"/>
  <c r="E12" i="28" a="1"/>
  <c r="E12" i="28" s="1"/>
  <c r="F12" i="28" s="1"/>
  <c r="F10" i="28" l="1"/>
  <c r="F13" i="28"/>
  <c r="E13" i="28"/>
  <c r="D9" i="28"/>
  <c r="D13" i="28"/>
  <c r="C13" i="28"/>
</calcChain>
</file>

<file path=xl/sharedStrings.xml><?xml version="1.0" encoding="utf-8"?>
<sst xmlns="http://schemas.openxmlformats.org/spreadsheetml/2006/main" count="3516" uniqueCount="628">
  <si>
    <t>NA</t>
  </si>
  <si>
    <t>Incident</t>
  </si>
  <si>
    <t xml:space="preserve">Priority Change (Valid Reason) </t>
  </si>
  <si>
    <t>Transfer of ticket</t>
  </si>
  <si>
    <t>Ticket is assigned more than one week</t>
  </si>
  <si>
    <t>Duplicate ticket</t>
  </si>
  <si>
    <t>3 Strike Rule</t>
  </si>
  <si>
    <t>Other MS team or 3rd party resolver</t>
  </si>
  <si>
    <t>Assignee</t>
  </si>
  <si>
    <t>Clock Stop</t>
  </si>
  <si>
    <t>Appropriate Resolution Category</t>
  </si>
  <si>
    <t>Closed Date</t>
  </si>
  <si>
    <t>Observation</t>
  </si>
  <si>
    <t>Assigned Team</t>
  </si>
  <si>
    <t>Comments</t>
  </si>
  <si>
    <t>Troubleshooting the issue.</t>
  </si>
  <si>
    <t>Clock should not be stopped</t>
  </si>
  <si>
    <t>Not Met</t>
  </si>
  <si>
    <t>Resolution category is Workaround Applied</t>
  </si>
  <si>
    <t>Details of the action taken that resolved the issue is not mentioned.</t>
  </si>
  <si>
    <t>Ticket clock is stopped or on hold state.</t>
  </si>
  <si>
    <t>There should be valid reason, while ticket clock is stop mode.</t>
  </si>
  <si>
    <t>Incident closed through the change implementation.</t>
  </si>
  <si>
    <t>There should proper change ticket link with relevant incident</t>
  </si>
  <si>
    <t>The Ticket priority has been change</t>
  </si>
  <si>
    <t>While changing the ticket priority, Reasons and approval mail should be attached in the ticket.</t>
  </si>
  <si>
    <t>The ticket closed without any intervention</t>
  </si>
  <si>
    <t>It should be self-corrected and ticket will be updated with proper comments.</t>
  </si>
  <si>
    <t>Transfer the ticket to another queue</t>
  </si>
  <si>
    <t>There should be proper comments while transferring the ticket to another queue.</t>
  </si>
  <si>
    <t>For any duplicate ticket</t>
  </si>
  <si>
    <t>Original ticket number should be mentioned in that ticket</t>
  </si>
  <si>
    <t>Ticket is assign to your bucket more than one week of creation</t>
  </si>
  <si>
    <t>There should be proper update on ticket rigorously</t>
  </si>
  <si>
    <t>3 strike rules must be followed for pending tickets.</t>
  </si>
  <si>
    <t>The standard template should be to followed</t>
  </si>
  <si>
    <t>If some other team (MS Team or a 3rd party) has resolved the issue.</t>
  </si>
  <si>
    <t>The ticket should be assigned to that team instead of resolving it even if no action was taken</t>
  </si>
  <si>
    <t>ITIL Framework For Incident Management</t>
  </si>
  <si>
    <t>Resolved</t>
  </si>
  <si>
    <t>Network Device Support</t>
  </si>
  <si>
    <t>GPN\yadavde</t>
  </si>
  <si>
    <t>Service Desk</t>
  </si>
  <si>
    <t>Database Administration_Server</t>
  </si>
  <si>
    <t>Other</t>
  </si>
  <si>
    <t>UNIX Server Support</t>
  </si>
  <si>
    <t>Software</t>
  </si>
  <si>
    <t>Status</t>
  </si>
  <si>
    <t>Summary</t>
  </si>
  <si>
    <t>Server</t>
  </si>
  <si>
    <t>GPN\Dwivedpi</t>
  </si>
  <si>
    <t>Connectivity</t>
  </si>
  <si>
    <t>Network</t>
  </si>
  <si>
    <t>Performance</t>
  </si>
  <si>
    <t>Wintel Server Support</t>
  </si>
  <si>
    <t>GPN\MITRAAM</t>
  </si>
  <si>
    <t>GPN\tiwarira</t>
  </si>
  <si>
    <t>Alarm</t>
  </si>
  <si>
    <t>GPN\tripatsa</t>
  </si>
  <si>
    <t>Informational</t>
  </si>
  <si>
    <t>Monitoring</t>
  </si>
  <si>
    <t>Circuit-Data</t>
  </si>
  <si>
    <t>GPN\GudapaUd</t>
  </si>
  <si>
    <t>GPN\DuttaAbh</t>
  </si>
  <si>
    <t>Closed</t>
  </si>
  <si>
    <t>GPN\SinhaSwe</t>
  </si>
  <si>
    <t>Fault</t>
  </si>
  <si>
    <t>GPN\nandiman</t>
  </si>
  <si>
    <t>GPN\Banerjav</t>
  </si>
  <si>
    <t>Information Security Support</t>
  </si>
  <si>
    <t>Security</t>
  </si>
  <si>
    <t>Vulnerability Assessment</t>
  </si>
  <si>
    <t>Administration</t>
  </si>
  <si>
    <t>Configure</t>
  </si>
  <si>
    <t>GPN\MONDALKI</t>
  </si>
  <si>
    <t>Fault/Crash</t>
  </si>
  <si>
    <t>GPN\imchenat</t>
  </si>
  <si>
    <t>Enterprise Messaging</t>
  </si>
  <si>
    <t>Phishing</t>
  </si>
  <si>
    <t>N/A</t>
  </si>
  <si>
    <t>GPN\mohapasa</t>
  </si>
  <si>
    <t>Update</t>
  </si>
  <si>
    <t>GPN\Haldersu</t>
  </si>
  <si>
    <t>GPN\kumarraj</t>
  </si>
  <si>
    <t>GPN\ameyashi1</t>
  </si>
  <si>
    <t>GPN\dasjeet</t>
  </si>
  <si>
    <t xml:space="preserve">Zabbix Alert Received </t>
  </si>
  <si>
    <t>SLA Clock Stopped</t>
  </si>
  <si>
    <t>On Hold</t>
  </si>
  <si>
    <t>gpn\SasthaSu</t>
  </si>
  <si>
    <t>GPN\paulkau</t>
  </si>
  <si>
    <t>GPN\sarkarpr</t>
  </si>
  <si>
    <t>Cannot Login</t>
  </si>
  <si>
    <t>ID Management</t>
  </si>
  <si>
    <t>Web Services</t>
  </si>
  <si>
    <t xml:space="preserve">Priority changed from 2 to 3
Impact changed from Organization to Site
</t>
  </si>
  <si>
    <t>Active Calls</t>
  </si>
  <si>
    <t>Open</t>
  </si>
  <si>
    <t>GPN\GhoshNai</t>
  </si>
  <si>
    <t>GPN\BorkarKu</t>
  </si>
  <si>
    <t xml:space="preserve">Priority changed from 2 to 3
Urgency changed from Medium to Low
</t>
  </si>
  <si>
    <t xml:space="preserve">Priority changed from 4 to 3
Urgency changed from Low to Medium
</t>
  </si>
  <si>
    <t xml:space="preserve">Priority changed from 4 to 2
Urgency changed from Low to High
</t>
  </si>
  <si>
    <t>GPN\LAHASUDI</t>
  </si>
  <si>
    <t>GPN\sasadhar</t>
  </si>
  <si>
    <t xml:space="preserve">Priority changed from 2 to 1
Urgency changed from Medium to High
</t>
  </si>
  <si>
    <t xml:space="preserve">Priority changed from 1 to 3
Urgency changed from High to Low
</t>
  </si>
  <si>
    <t>GPN\ChatteTi</t>
  </si>
  <si>
    <t xml:space="preserve">Priority changed from 1 to 2
Urgency changed from Critical to Medium
</t>
  </si>
  <si>
    <t>gpn\barikshu</t>
  </si>
  <si>
    <t>GPN\dasshik</t>
  </si>
  <si>
    <t xml:space="preserve">Priority changed from 2 to 3
Urgency changed from High to Medium
</t>
  </si>
  <si>
    <t xml:space="preserve">Permissions </t>
  </si>
  <si>
    <t>Unable To Access</t>
  </si>
  <si>
    <t>GPN\mohantma</t>
  </si>
  <si>
    <t xml:space="preserve">Priority changed from 3 to 2
Urgency changed from Medium to High
</t>
  </si>
  <si>
    <t>GPN\ranaraks</t>
  </si>
  <si>
    <t>Device Not Responding</t>
  </si>
  <si>
    <t xml:space="preserve">Priority changed from 2 to 3
Impact changed from Organization to Department
</t>
  </si>
  <si>
    <t>GPN\kumarvij</t>
  </si>
  <si>
    <t>GPN\Deysujo</t>
  </si>
  <si>
    <t xml:space="preserve">Priority changed from 2 to 3
Urgency changed from High to Medium
Impact changed from Department to Site
</t>
  </si>
  <si>
    <t>Incorrect Results</t>
  </si>
  <si>
    <t xml:space="preserve">Priority changed from 1 to 2
Impact changed from Organization to Department
</t>
  </si>
  <si>
    <t xml:space="preserve">Priority changed from 1 to 2
Urgency changed from High to Medium
</t>
  </si>
  <si>
    <t>GPN\gangulso</t>
  </si>
  <si>
    <t>Patching</t>
  </si>
  <si>
    <t>Database</t>
  </si>
  <si>
    <t>Storage and Backup Support</t>
  </si>
  <si>
    <t>GPN\mondalsan</t>
  </si>
  <si>
    <t>GPN\sensoura</t>
  </si>
  <si>
    <t>Vulnerability</t>
  </si>
  <si>
    <t>Malware</t>
  </si>
  <si>
    <t xml:space="preserve">Priority changed from 4 to 1
Urgency changed from Low to Critical
Impact changed from User (1-19) to Site
</t>
  </si>
  <si>
    <t>Storage</t>
  </si>
  <si>
    <t>Cannot access File/Folder</t>
  </si>
  <si>
    <t>GPN\roybikas</t>
  </si>
  <si>
    <t>Email</t>
  </si>
  <si>
    <t>P2 To be Audited</t>
  </si>
  <si>
    <t>P1 To be Audited</t>
  </si>
  <si>
    <t>New Priority</t>
  </si>
  <si>
    <t>Original Priority</t>
  </si>
  <si>
    <t>E Notes</t>
  </si>
  <si>
    <t>E Action Name</t>
  </si>
  <si>
    <t>Closure Sub Category</t>
  </si>
  <si>
    <t>Closure Call Category</t>
  </si>
  <si>
    <t>Assigned To</t>
  </si>
  <si>
    <t>Support Team</t>
  </si>
  <si>
    <t>Call Priority</t>
  </si>
  <si>
    <t>E Stage Name</t>
  </si>
  <si>
    <t>E Creation Time</t>
  </si>
  <si>
    <t>Base Field E Folder Name</t>
  </si>
  <si>
    <t>Total P3 Upgraded</t>
  </si>
  <si>
    <t>Total P4 Upgraded</t>
  </si>
  <si>
    <t>P4 Upgraded to P3</t>
  </si>
  <si>
    <t>P3 Upgraded to P2</t>
  </si>
  <si>
    <t>P4 Upgraded to P2</t>
  </si>
  <si>
    <t>P3 Upgraded to P1</t>
  </si>
  <si>
    <t>P4 Upgraded to P1</t>
  </si>
  <si>
    <t>Incident Upgrade Details</t>
  </si>
  <si>
    <t>Total P2 Downgraded</t>
  </si>
  <si>
    <t>Total P1 Downgraded</t>
  </si>
  <si>
    <t>P1 Downgraded to P4</t>
  </si>
  <si>
    <t>P2 Downgraded to P4</t>
  </si>
  <si>
    <t>P1 Downgraded to P3</t>
  </si>
  <si>
    <t>P2 Downgraded to P3</t>
  </si>
  <si>
    <t>P1 Downgraded to P2</t>
  </si>
  <si>
    <t>Incident Downgrade Details</t>
  </si>
  <si>
    <t>TOTAL</t>
  </si>
  <si>
    <t>% Upgraded</t>
  </si>
  <si>
    <t>Total Incidents Upgraded</t>
  </si>
  <si>
    <t>% Downgraded</t>
  </si>
  <si>
    <t>Total Incidents Downgraded</t>
  </si>
  <si>
    <t>Total Incidents Reported</t>
  </si>
  <si>
    <t>Priority</t>
  </si>
  <si>
    <t>Incident Downgrade and Upgrade Summary Accenture Teams</t>
  </si>
  <si>
    <t>Met</t>
  </si>
  <si>
    <t>Unix Server Support</t>
  </si>
  <si>
    <t>Grand Total</t>
  </si>
  <si>
    <t xml:space="preserve">Priority changed from 1 to 3
Urgency changed from High to Medium
Impact changed from Organization to Site
</t>
  </si>
  <si>
    <t>Failure/Crash</t>
  </si>
  <si>
    <t>Circuit</t>
  </si>
  <si>
    <t>Data Fault</t>
  </si>
  <si>
    <t xml:space="preserve">Priority changed from 1 to 3
Urgency changed from Critical to Medium
</t>
  </si>
  <si>
    <t xml:space="preserve">Priority changed from 1 to 3
Urgency changed from Critical to Medium
Impact changed from Organization to Department
</t>
  </si>
  <si>
    <t>GPN\Bhattsan</t>
  </si>
  <si>
    <t>GPN\arumugma</t>
  </si>
  <si>
    <t xml:space="preserve">Prognosis Alert </t>
  </si>
  <si>
    <t>IM265749</t>
  </si>
  <si>
    <t>Archive</t>
  </si>
  <si>
    <t>g1nwgmbx003 : PORTAL detected Drive C:\Exdata\DBS\DB1 Available SPACE is at 4.92%</t>
  </si>
  <si>
    <t xml:space="preserve">Priority changed from 2 to 3
Urgency changed from High to Medium
Impact changed from Department to User (1-19)
</t>
  </si>
  <si>
    <t>IM265761</t>
  </si>
  <si>
    <t>MCC_Beta- 10.254.70.101</t>
  </si>
  <si>
    <t>IM265797</t>
  </si>
  <si>
    <t>Solarwinds Alerts HA Member Status for v1nna-oob4600fw02 changed to standby</t>
  </si>
  <si>
    <t>IM265798</t>
  </si>
  <si>
    <t>Solarwinds Alerts - Interface eth4 on CheckPoint firewall v1nna-oob4600fw01 is Down</t>
  </si>
  <si>
    <t>IM265814</t>
  </si>
  <si>
    <t>gletlqaap01 : PORTAL detected CPU usage at 100.00%</t>
  </si>
  <si>
    <t>IM265825</t>
  </si>
  <si>
    <t>IM266334</t>
  </si>
  <si>
    <t>GL1EMSTSPREU02 - Error Mssage - James Chandler - Global Payments</t>
  </si>
  <si>
    <t>IM266430</t>
  </si>
  <si>
    <t>BEM - v1nnp-dcwanedge1004rtr-02 : 10.118.29.14:threshold of BGPNeighbour Bad Peer State not met: current value 1.000000</t>
  </si>
  <si>
    <t>IM266539</t>
  </si>
  <si>
    <t>IM266606</t>
  </si>
  <si>
    <t>g1nwqjmp001 : PORTAL detected MEMORY usage is HIGH at 95.72% utilised</t>
  </si>
  <si>
    <t>IM266705</t>
  </si>
  <si>
    <t>MCC and SCC OOB devices aren't reachable</t>
  </si>
  <si>
    <t>IM266956</t>
  </si>
  <si>
    <t>igusprodb.globalpay.com   Expired Cert &amp; Signature Verification Failed 64.27.240.72</t>
  </si>
  <si>
    <t>IM267029</t>
  </si>
  <si>
    <t>g1nwgmbx008 : PORTAL detected Drive C:\Exdata\DBS\DB2 Available SPACE is at 4.95%</t>
  </si>
  <si>
    <t xml:space="preserve">Priority changed from 2 to 3
Urgency changed from High to Low
Impact changed from Department to Organization
</t>
  </si>
  <si>
    <t>IM267037</t>
  </si>
  <si>
    <t>AD - cannot log in inot cde - Deaundra Cloyd - Owings Mills</t>
  </si>
  <si>
    <t>IM267042</t>
  </si>
  <si>
    <t>Unable to access applications inside CDE remote desktop - Brittany.Eaddy - Owings Mills</t>
  </si>
  <si>
    <t>IM267075</t>
  </si>
  <si>
    <t>g3nlptdsa002 : PORTAL detected Filesystem (/home) is 97.82% Utilized</t>
  </si>
  <si>
    <t>IM267080</t>
  </si>
  <si>
    <t>IM267181</t>
  </si>
  <si>
    <t>Jump Server - Unable to access - S Vigneswaran - India</t>
  </si>
  <si>
    <t>IM267229</t>
  </si>
  <si>
    <t xml:space="preserve">Zabbix Alert Received - WEB server is down on  server g1nlprptw001/ g1nlcrptw002 </t>
  </si>
  <si>
    <t>IM267262</t>
  </si>
  <si>
    <t>please complete vulnerability remediation as per Chris Millers email [PCI Critical]</t>
  </si>
  <si>
    <t xml:space="preserve">Priority changed from 2 to 3
Impact changed from Region to Department
</t>
  </si>
  <si>
    <t>IM267274</t>
  </si>
  <si>
    <t>Zabbix Alert Received - Cert Tomcat server is down on  server g1nlcrpta001 # medium severity: OK</t>
  </si>
  <si>
    <t>IM267275</t>
  </si>
  <si>
    <t>IM267283</t>
  </si>
  <si>
    <t>IM267416</t>
  </si>
  <si>
    <t>if0900127_irn_ssg5 : :IP 10.254.110.43 is DOWN</t>
  </si>
  <si>
    <t>IM267426</t>
  </si>
  <si>
    <t>Executive WAP not working (Amber blinking light)</t>
  </si>
  <si>
    <t>IM267557</t>
  </si>
  <si>
    <t>BEM : ss-cfws-admin-1 : PORTAL detected Drive C: Available SPACE is at 4.94%</t>
  </si>
  <si>
    <t>IM267638</t>
  </si>
  <si>
    <t>g1nlcrpta003 : PORTAL detected Filesystem (/tmp) is 99.13% Utilized</t>
  </si>
  <si>
    <t>IM267642</t>
  </si>
  <si>
    <t>glg2dvap10 : PORTAL detected CPU usage at 99.00%</t>
  </si>
  <si>
    <t>IM267757</t>
  </si>
  <si>
    <t>IM267891</t>
  </si>
  <si>
    <t>Failed to installed the relevant patches to the server</t>
  </si>
  <si>
    <t>IM267932</t>
  </si>
  <si>
    <t>Remediation on SSL for o2nwcmisw01.corp.globalpay.com</t>
  </si>
  <si>
    <t>IM268052</t>
  </si>
  <si>
    <t>IM268057</t>
  </si>
  <si>
    <t>SDM - indexing going down - James Chandler - Global Payments</t>
  </si>
  <si>
    <t>IM268058</t>
  </si>
  <si>
    <t>BEM Alert: ssdc-mdf-corp-wan-3945a : 68.138.230.41:threshold of BGPNeighbour Bad Peer State not met: current value 1.000000</t>
  </si>
  <si>
    <t>IM268232</t>
  </si>
  <si>
    <t>Unable to access userjump-atl.prod.globalpay.com/rdwebaccess - Mita Patel - Leicester</t>
  </si>
  <si>
    <t>IM268240</t>
  </si>
  <si>
    <t>IM268251</t>
  </si>
  <si>
    <t>Network Interuption - Look to have affected SSG-5 Customers -  Internet Blip - SS</t>
  </si>
  <si>
    <t>IM268254</t>
  </si>
  <si>
    <t>Unable to login into G1NWGTMOSI001</t>
  </si>
  <si>
    <t>IM268336</t>
  </si>
  <si>
    <t>IM268402</t>
  </si>
  <si>
    <t>IM268410</t>
  </si>
  <si>
    <t>IM268496</t>
  </si>
  <si>
    <t>G1NWPJMP001.PROD - Unable to login, stuck at the Welcome screen - ranjanviadmin, ganjepatilviadmin and sanganisoadmin - India</t>
  </si>
  <si>
    <t>IM268536</t>
  </si>
  <si>
    <t>Multiple BGP flap alerts for ss_er_3945_b-vze</t>
  </si>
  <si>
    <t>IM268857</t>
  </si>
  <si>
    <t>gpn\paridata</t>
  </si>
  <si>
    <t>Unable to receive Emails periodically in OWA and Outlook - Padma Dhulipala - Atlanta</t>
  </si>
  <si>
    <t>Cannot Send/Receive</t>
  </si>
  <si>
    <t>IM268964</t>
  </si>
  <si>
    <t>Checkpoint will not return results for searched events on 10.122.210.23</t>
  </si>
  <si>
    <t>IM269036</t>
  </si>
  <si>
    <t>Intranet - Unable to access - Milan Kothari - Leicester</t>
  </si>
  <si>
    <t>Website Performance</t>
  </si>
  <si>
    <t>IM269096</t>
  </si>
  <si>
    <t>Unable to perform admin functions on G1NWGSMAPA001 for eServiceDesk application - Mindi Crozier - Atlanta</t>
  </si>
  <si>
    <t>IM269101</t>
  </si>
  <si>
    <t>Disk space and i/o</t>
  </si>
  <si>
    <t>IM269177</t>
  </si>
  <si>
    <t>Vulnerability Remediation: G1NWPJMP002</t>
  </si>
  <si>
    <t>IM269178</t>
  </si>
  <si>
    <t>Vulnerability Remediation: G1NWPJMP003</t>
  </si>
  <si>
    <t>IM269336</t>
  </si>
  <si>
    <t>NEED A COPY OF FILES RESTORED FROM SHAREPOINT  (http://gl1pf-dev) AND SENT IN AN EMAIL 01/16</t>
  </si>
  <si>
    <t>IM269469</t>
  </si>
  <si>
    <t>SDM - down for EVO - James.Chandler - Global Payments</t>
  </si>
  <si>
    <t>IM269624</t>
  </si>
  <si>
    <t>Vulnerability - OPNWPFIND01 scan results - Edmund Lau - Toronto</t>
  </si>
  <si>
    <t>IM269639</t>
  </si>
  <si>
    <t>NA Risk Net - Unable to Access - Mandy.Turner - Leicester</t>
  </si>
  <si>
    <t xml:space="preserve">Priority changed from 4 to 2
Urgency changed from Low to High
Impact changed from User (1-19) to Site
</t>
  </si>
  <si>
    <t>IM269684</t>
  </si>
  <si>
    <t>Unable to Copy or Open any file in Unix Box</t>
  </si>
  <si>
    <t>IM269770</t>
  </si>
  <si>
    <t>Not able to login to CDE Jump servers</t>
  </si>
  <si>
    <t>IM269774</t>
  </si>
  <si>
    <t>unable to access shared folder - Allen, Cynthia - Las Vegas Nevada</t>
  </si>
  <si>
    <t>IM269834</t>
  </si>
  <si>
    <t>unable to access corp RD - Ismail, Janet - British Columbia Remote</t>
  </si>
  <si>
    <t>IM270040</t>
  </si>
  <si>
    <t>at1qa-001 : PORTAL detected SQL SERVER STATUS change (MS SQL Microsoft_SQL_Server)</t>
  </si>
  <si>
    <t>IM270082</t>
  </si>
  <si>
    <t>Cde-Unable to login receiving an error -Leticia Monarrez-Niles</t>
  </si>
  <si>
    <t>IM270283</t>
  </si>
  <si>
    <t>IM270346</t>
  </si>
  <si>
    <t>SDM / MMI / GAA PASSWORD RESET TOOL/ CTI  - Unable to access - Susana Marie Dulay -  manila</t>
  </si>
  <si>
    <t>IM270351</t>
  </si>
  <si>
    <t>Database - Getting Error Message while accessing SDMRPT schema - Bhanuvenkatanaidu Kodavatikanti - India</t>
  </si>
  <si>
    <t>IM270405</t>
  </si>
  <si>
    <t>gletlqaap01 : PORTAL detected CPU usage at 96.00%</t>
  </si>
  <si>
    <t>IM270413</t>
  </si>
  <si>
    <t>CDE - unable to access - Anne Holyland - UK</t>
  </si>
  <si>
    <t>IM270437</t>
  </si>
  <si>
    <t>PCI Vulnerability Patching - Mutliple UNIX Servers</t>
  </si>
  <si>
    <t>IM270521</t>
  </si>
  <si>
    <t>g1nlpg2a002 : PORTAL detected CPU usage at 98.00%</t>
  </si>
  <si>
    <t>IM270861</t>
  </si>
  <si>
    <t>Unable to access Crontab for Oracle2 user. Also confirm that mail service is up on this server</t>
  </si>
  <si>
    <t xml:space="preserve">Priority changed from 2 to 3
Urgency changed from Critical to Medium
</t>
  </si>
  <si>
    <t>IM270886</t>
  </si>
  <si>
    <t>i2anp-wan3925rtr-02 : :IP 10.9.0.3 is DOWN || i2anp-axs3750sw-01 : :IP 10.9.5.254 is DOWN</t>
  </si>
  <si>
    <t xml:space="preserve">Priority changed from 1 to 3
Urgency changed from Critical to Medium
Impact changed from Department to Site
</t>
  </si>
  <si>
    <t>IM270895</t>
  </si>
  <si>
    <t>IM270932</t>
  </si>
  <si>
    <t>Gateway Controller - Import does not exist!</t>
  </si>
  <si>
    <t xml:space="preserve">Priority changed from 1 to 2
Impact changed from Region to Department
</t>
  </si>
  <si>
    <t>IM270975</t>
  </si>
  <si>
    <t>IM270984</t>
  </si>
  <si>
    <t>F5 WAF - AL-F5-1045-01 sync status disconnected.  AL-F5-1045-02 unable to access.</t>
  </si>
  <si>
    <t>IM271030</t>
  </si>
  <si>
    <t>IM271050</t>
  </si>
  <si>
    <t>g3nldg2a001 : PORTAL detected CPU usage at 100.00%</t>
  </si>
  <si>
    <t>IM271113</t>
  </si>
  <si>
    <t>BEM Alert: alpha_cust_lb_b : :SNMP agent down - no response received</t>
  </si>
  <si>
    <t>IM271526</t>
  </si>
  <si>
    <t>PCI Vulnerability Remediation - g3nlplog001</t>
  </si>
  <si>
    <t>IM271535</t>
  </si>
  <si>
    <t>Please sync AT1IS-DEV clock with domain controller's clock</t>
  </si>
  <si>
    <t>IM271630</t>
  </si>
  <si>
    <t>AD - Reset the GPN Password - Siva Subramanian - India</t>
  </si>
  <si>
    <t>IM271675</t>
  </si>
  <si>
    <t>IM271677</t>
  </si>
  <si>
    <t>IM271692</t>
  </si>
  <si>
    <t>glerpqaap04 : PORTAL detected MEMORY on this system LOW at 4.93% free</t>
  </si>
  <si>
    <t>IM272047</t>
  </si>
  <si>
    <t>GPN\dawnraj</t>
  </si>
  <si>
    <t>if130199_accpaytech_ssg5 : :IP 10.254.110.131 is DOWN</t>
  </si>
  <si>
    <t>IM272132</t>
  </si>
  <si>
    <t>Not able to access g1nwqjmp001.qa.globalpay.com</t>
  </si>
  <si>
    <t xml:space="preserve">Priority changed from 3 to 1
Urgency changed from Medium to Critical
Impact changed from Site to Organization
</t>
  </si>
  <si>
    <t>IM272269</t>
  </si>
  <si>
    <t xml:space="preserve">DNS Blackhole Update Error Received </t>
  </si>
  <si>
    <t>IM272317</t>
  </si>
  <si>
    <t>g1nldmsg002 : PORTAL detected process (Unix_Process_#pickup) is DOWN</t>
  </si>
  <si>
    <t>IM272330</t>
  </si>
  <si>
    <t xml:space="preserve">Zabbix Alert - SDM PROD Processor load is too high on server g1nlpsdmd002 </t>
  </si>
  <si>
    <t>IM272601</t>
  </si>
  <si>
    <t>Solarwinds Alerts  g1nnd-nra5520fw-01-pri.gpn.globalpay.com 10.126.240.167 has High CPU Utilization</t>
  </si>
  <si>
    <t>IM272638</t>
  </si>
  <si>
    <t>Config needed to complete Vancouver switch configs on new stack</t>
  </si>
  <si>
    <t>IM272649</t>
  </si>
  <si>
    <t xml:space="preserve">Solarwinds Alerts  From: Network Performance Monitor [mailto:solarwinds@globalpay.com] </t>
  </si>
  <si>
    <t>IM272671</t>
  </si>
  <si>
    <t>AP eDMS: Resolve configuration issues reported by SSVP_H1AWGEDMS01: 10.4.16.217</t>
  </si>
  <si>
    <t>IM272672</t>
  </si>
  <si>
    <t>AP eDMS: Resolve configuration issues reported by SSVP_H1AWGEDMS02: 10.4.16.215</t>
  </si>
  <si>
    <t>IM272702</t>
  </si>
  <si>
    <t>Solarwinds Alerts [Copy device name and paste here]</t>
  </si>
  <si>
    <t>IM266220</t>
  </si>
  <si>
    <t>Solarwinds Alerts [g1nnp-rinetwanedge3945rtr-02.gpn.globalpay.com ]</t>
  </si>
  <si>
    <t>IM266424</t>
  </si>
  <si>
    <t>CDE remote desktop not accessible - Angelo Brian Garcia - Manila</t>
  </si>
  <si>
    <t>IM266781</t>
  </si>
  <si>
    <t>Vulnerabilities detected-PCI- Remediation required on g1nlpsdmw01 Server</t>
  </si>
  <si>
    <t>IM266976</t>
  </si>
  <si>
    <t>Solarwinds Alerts g1nnd-nra5520fw-01-pri.gpn.globalpay.com</t>
  </si>
  <si>
    <t>IM268547</t>
  </si>
  <si>
    <t>Remove phishing email from GP user inbox with the subject: Billing iTunes Account Suspension Notification</t>
  </si>
  <si>
    <t>IM268838</t>
  </si>
  <si>
    <t>IM269306</t>
  </si>
  <si>
    <t>BEM : tosapdb-001 : PORTAL detected SQL SERVER STATUS change (MS SQL Microsoft_SQL_Server)</t>
  </si>
  <si>
    <t>IM270111</t>
  </si>
  <si>
    <t>Remove malicious email from GP user inbox with the subject: Payment not received</t>
  </si>
  <si>
    <t>IM272133</t>
  </si>
  <si>
    <t>DNS server G1NNQDNS001 offline.</t>
  </si>
  <si>
    <t xml:space="preserve"> </t>
  </si>
  <si>
    <t>Madhusmita Mohanty</t>
  </si>
  <si>
    <t>Atsung Imchen</t>
  </si>
  <si>
    <t>Piyush Dwivedi</t>
  </si>
  <si>
    <t>Sourav Sen</t>
  </si>
  <si>
    <t>Sasadhar Roy</t>
  </si>
  <si>
    <t>Devendra Kumar Yadav</t>
  </si>
  <si>
    <t>Manash Nandi</t>
  </si>
  <si>
    <t>Shikarjit Das</t>
  </si>
  <si>
    <t>Rajib Dawn</t>
  </si>
  <si>
    <t>Sujoy Dey</t>
  </si>
  <si>
    <t>Mani Barathi Arumugam</t>
  </si>
  <si>
    <t>Sandip Mondal</t>
  </si>
  <si>
    <t>Pradip Sarkar</t>
  </si>
  <si>
    <t>Subramanian Sastha</t>
  </si>
  <si>
    <t>Rana Rakshit</t>
  </si>
  <si>
    <t>Rakesh Tiwari</t>
  </si>
  <si>
    <t>Udayachandraraju</t>
  </si>
  <si>
    <t>Jeet Das</t>
  </si>
  <si>
    <t>Kinker Mondal</t>
  </si>
  <si>
    <t>Vijay Kumar</t>
  </si>
  <si>
    <t>Kunal Borkar</t>
  </si>
  <si>
    <t>Santanu Bhattacharya</t>
  </si>
  <si>
    <t>Sambit Kumar Mohapatra</t>
  </si>
  <si>
    <t>Tapas Parida</t>
  </si>
  <si>
    <t>Abhijit Dutta</t>
  </si>
  <si>
    <t>Sudipta Laha</t>
  </si>
  <si>
    <t>Ameya Deshpande</t>
  </si>
  <si>
    <t>Shubhadeep Barik</t>
  </si>
  <si>
    <t>Rajnish Kumar</t>
  </si>
  <si>
    <t>Kaushik Paul</t>
  </si>
  <si>
    <t>Avi banerjee</t>
  </si>
  <si>
    <t>Subhadeep Barik</t>
  </si>
  <si>
    <t>Titly Chatterjee</t>
  </si>
  <si>
    <t>Amit Mitra</t>
  </si>
  <si>
    <t>Sukhendu Bikash Roy</t>
  </si>
  <si>
    <t>Nairita Ghosh</t>
  </si>
  <si>
    <t>Yes</t>
  </si>
  <si>
    <t>Database Administration Server</t>
  </si>
  <si>
    <t>No</t>
  </si>
  <si>
    <t>Storage &amp; BackUp</t>
  </si>
  <si>
    <t>Response Time</t>
  </si>
  <si>
    <t>Stop Clock</t>
  </si>
  <si>
    <t>Appropriate Resolution</t>
  </si>
  <si>
    <t>Priority Change</t>
  </si>
  <si>
    <t>Team/KPI</t>
  </si>
  <si>
    <t>Audit Dashboard</t>
  </si>
  <si>
    <t>Total Number of Incidents Audited</t>
  </si>
  <si>
    <t>Incident Audited</t>
  </si>
  <si>
    <t>Towerwise % of Met Incident</t>
  </si>
  <si>
    <t>Total</t>
  </si>
  <si>
    <t>Top 3 Defaulter Teams (KPI wise)</t>
  </si>
  <si>
    <t>Tower Wise Met Incidents</t>
  </si>
  <si>
    <t>KPI Wise Share of Each Tower</t>
  </si>
  <si>
    <t>Team Name</t>
  </si>
  <si>
    <t xml:space="preserve">Met </t>
  </si>
  <si>
    <t xml:space="preserve">Not Met </t>
  </si>
  <si>
    <t>IM273880</t>
  </si>
  <si>
    <t>Ameya Sirishkumar Deshpande</t>
  </si>
  <si>
    <t>Please update the ticket with justification while degrading the priority of the ticket</t>
  </si>
  <si>
    <t>IM274271</t>
  </si>
  <si>
    <t>IM274483</t>
  </si>
  <si>
    <t>IM274501</t>
  </si>
  <si>
    <t>IM274517</t>
  </si>
  <si>
    <t>IM274525</t>
  </si>
  <si>
    <t>IM274634</t>
  </si>
  <si>
    <t>IM274646</t>
  </si>
  <si>
    <t>Sourav Ganguly</t>
  </si>
  <si>
    <t>IM274654</t>
  </si>
  <si>
    <t>Uday Chandraraju Gudapati</t>
  </si>
  <si>
    <t>IM274833</t>
  </si>
  <si>
    <t>IM274885</t>
  </si>
  <si>
    <t>" Checking the services and connectivity " is not a valid reason to put the ticket on hold. ticket was downgraded to P3 from P2 before ECR and no reason was mentioned.</t>
  </si>
  <si>
    <t>IM274889</t>
  </si>
  <si>
    <t>"Working on the issue"  is not an appropriate statement to put the ticket in STOP mode.</t>
  </si>
  <si>
    <t>IM275011</t>
  </si>
  <si>
    <t>IM275078</t>
  </si>
  <si>
    <t>IM275124</t>
  </si>
  <si>
    <t>Please mention the appropriate resolution category, in this case it should have been Resolved by change. Please mention the reason while downgrading the priority of the ticket.</t>
  </si>
  <si>
    <t>IM273884</t>
  </si>
  <si>
    <t>Manoj Goswami</t>
  </si>
  <si>
    <t>"Working on it" is not a vlaid statemetn to put the ticket on hold status.Please mention reason while downgrading the priority of the ticket.</t>
  </si>
  <si>
    <t>;</t>
  </si>
  <si>
    <t>IM273951</t>
  </si>
  <si>
    <t>Please select the appropriate category for resolution. In this case it should have been Resolved by change.</t>
  </si>
  <si>
    <t>IM274129</t>
  </si>
  <si>
    <t>MAnoj Goswami</t>
  </si>
  <si>
    <t>Please provide the justification while degrading the priority of the ticket.</t>
  </si>
  <si>
    <t>IM275145</t>
  </si>
  <si>
    <t>Please provide valid reason while degrading the priority of the ticket.</t>
  </si>
  <si>
    <t>IM275193</t>
  </si>
  <si>
    <t>IM275214</t>
  </si>
  <si>
    <t>IM275220</t>
  </si>
  <si>
    <t>IM275163</t>
  </si>
  <si>
    <t>Please mention a valid reason while changing the priority</t>
  </si>
  <si>
    <t>IM275164</t>
  </si>
  <si>
    <t>Please mention the reason while changing the priority</t>
  </si>
  <si>
    <t>IM275259</t>
  </si>
  <si>
    <t>Please mention a vaild reason while changing the priority; No work was done on the ticket for more than a week</t>
  </si>
  <si>
    <t>IM275428</t>
  </si>
  <si>
    <t>IM275451</t>
  </si>
  <si>
    <t>IM275492</t>
  </si>
  <si>
    <t>IM275681</t>
  </si>
  <si>
    <t>IM275740</t>
  </si>
  <si>
    <t>Please mention a valid reason while downgrading an incident</t>
  </si>
  <si>
    <t>IM275794</t>
  </si>
  <si>
    <t>IM275817</t>
  </si>
  <si>
    <t>Sujay Dey</t>
  </si>
  <si>
    <t>IM275989</t>
  </si>
  <si>
    <t>Srinivasa Reddy</t>
  </si>
  <si>
    <t>"we are working" is not a valid statement to put the ticket on hold; Please mention a valid reason while changing the priority</t>
  </si>
  <si>
    <t>IM276077</t>
  </si>
  <si>
    <t>Sumana Halder</t>
  </si>
  <si>
    <t>Please mention a valid reason while putting the ticket on hold</t>
  </si>
  <si>
    <t>IM276180</t>
  </si>
  <si>
    <t>Sumit Roy</t>
  </si>
  <si>
    <t>IM276204</t>
  </si>
  <si>
    <t>Anindya Banerjee</t>
  </si>
  <si>
    <t>Please provide the justification while changing the priority of the ticket.</t>
  </si>
  <si>
    <t>IM276314</t>
  </si>
  <si>
    <t>Abhijeeta Kar</t>
  </si>
  <si>
    <t>IM276322</t>
  </si>
  <si>
    <t>Please provide the justificationw hile changing the priority of the ticket.</t>
  </si>
  <si>
    <t>IM276324</t>
  </si>
  <si>
    <t>Please provide the justification whiel changing the priority of the ticket.</t>
  </si>
  <si>
    <t>IM276466</t>
  </si>
  <si>
    <t>IM276508</t>
  </si>
  <si>
    <t>Please provide the justification while changing the priority of theticket.</t>
  </si>
  <si>
    <t>IM276707</t>
  </si>
  <si>
    <t>Please provide justification while changing the priority of the ticket.</t>
  </si>
  <si>
    <t>IM276716</t>
  </si>
  <si>
    <t>IM276936</t>
  </si>
  <si>
    <t>IM277074</t>
  </si>
  <si>
    <t>Ashmita Ghosh</t>
  </si>
  <si>
    <t>please provide justification while changing the priority of the ticket.</t>
  </si>
  <si>
    <t>IM277105</t>
  </si>
  <si>
    <t>"Oracle Process is consuming more cpu" is not a valid statement to put the ticket opn hold. Please provide justification while changing the priority of the ticket.</t>
  </si>
  <si>
    <t>IM277121</t>
  </si>
  <si>
    <t>Currently we are working with citrix team is not proper resolution notes and thus not correct resolution category.</t>
  </si>
  <si>
    <t>IM277176</t>
  </si>
  <si>
    <t>Devendra kumar Yadav</t>
  </si>
  <si>
    <t>IM277184</t>
  </si>
  <si>
    <t>Abhijita Kar</t>
  </si>
  <si>
    <t>IM277191</t>
  </si>
  <si>
    <t>Please provide justification while degrading the priority of the ticket.</t>
  </si>
  <si>
    <t>IM277265</t>
  </si>
  <si>
    <t>Devlin Karan</t>
  </si>
  <si>
    <t>IM277342</t>
  </si>
  <si>
    <t>Md sanowar sah</t>
  </si>
  <si>
    <t>IM277368</t>
  </si>
  <si>
    <t>IM277370</t>
  </si>
  <si>
    <t>IM277375</t>
  </si>
  <si>
    <t>IM277484</t>
  </si>
  <si>
    <t>IM277781</t>
  </si>
  <si>
    <t>IM277782</t>
  </si>
  <si>
    <t>IM277921</t>
  </si>
  <si>
    <t>IM277925</t>
  </si>
  <si>
    <t>IM277939</t>
  </si>
  <si>
    <t>Uday Gudapati</t>
  </si>
  <si>
    <t>Please mention a valid reason while changing the priority; "Password Reset" is the appropriate code while resolving such incident where user's password was reset</t>
  </si>
  <si>
    <t>IM277975</t>
  </si>
  <si>
    <t>IM278059</t>
  </si>
  <si>
    <t>Pradeep Ghosh</t>
  </si>
  <si>
    <t>IM278111</t>
  </si>
  <si>
    <t>Please mention a valid reason while changing the priority; if the incident occurred due to a change in progress, appropriate resolved code would be "Self Corrected" because we are not making any "change" to fix the issue</t>
  </si>
  <si>
    <t>IM278154</t>
  </si>
  <si>
    <t>IM278207</t>
  </si>
  <si>
    <t>IM278627</t>
  </si>
  <si>
    <t>IM278648</t>
  </si>
  <si>
    <t>Mani Barathi</t>
  </si>
  <si>
    <t>IM278649</t>
  </si>
  <si>
    <t>IM278861</t>
  </si>
  <si>
    <t>IM278870</t>
  </si>
  <si>
    <t>Samarpit Tripathi</t>
  </si>
  <si>
    <t>IM278881</t>
  </si>
  <si>
    <t>IM278885</t>
  </si>
  <si>
    <t>IM278942</t>
  </si>
  <si>
    <t>Ruby Raj</t>
  </si>
  <si>
    <t>Please mention a valid reason while changing the priority; A duplicate ticket exists for this ticket as mentioned in the notes, hence the Resolve Code is "Duplicate Ticket"</t>
  </si>
  <si>
    <t>IM278944</t>
  </si>
  <si>
    <t>"we are checking" is not a valid reason to put the ticket on hold</t>
  </si>
  <si>
    <t>IM278950</t>
  </si>
  <si>
    <t>Arindam Ghosh</t>
  </si>
  <si>
    <t>IM278963</t>
  </si>
  <si>
    <t>IM278966</t>
  </si>
  <si>
    <t>IM278972</t>
  </si>
  <si>
    <t>IM278985</t>
  </si>
  <si>
    <t>IM279008</t>
  </si>
  <si>
    <t>IM279154</t>
  </si>
  <si>
    <t>IM279178</t>
  </si>
  <si>
    <t>"We are investigating the issue" is not a valid reason to put the ticket on hold status.</t>
  </si>
  <si>
    <t>IM279187</t>
  </si>
  <si>
    <t>Anindya Kumar Banerjee</t>
  </si>
  <si>
    <t>IM279249</t>
  </si>
  <si>
    <t>IM279407</t>
  </si>
  <si>
    <t>Please provide the valid justification while changing the priority of the ticket.</t>
  </si>
  <si>
    <t>IM279408</t>
  </si>
  <si>
    <t>Please provide justification while chanign the priority of the ticket.</t>
  </si>
  <si>
    <t>IM279410</t>
  </si>
  <si>
    <t>Please provide justificaiton while changing the priority of the ticket.</t>
  </si>
  <si>
    <t>IM279514</t>
  </si>
  <si>
    <t>IM279533</t>
  </si>
  <si>
    <t>Shesadev Biswal</t>
  </si>
  <si>
    <t>IM279573</t>
  </si>
  <si>
    <t>IM279731</t>
  </si>
  <si>
    <t>PLease provide the justification while changing the priority of the ticket.</t>
  </si>
  <si>
    <t>IM279904</t>
  </si>
  <si>
    <t>IM279914</t>
  </si>
  <si>
    <t>IM279978</t>
  </si>
  <si>
    <t>IM280045</t>
  </si>
  <si>
    <t>Please provide the justification while changing the priority oft the ticket.</t>
  </si>
  <si>
    <t>IM280065</t>
  </si>
  <si>
    <t>Pleae provide the justification while changing the priority of tthe ticket</t>
  </si>
  <si>
    <t>IM280075</t>
  </si>
  <si>
    <t>Sandip Kumar Mondal</t>
  </si>
  <si>
    <t>IM280120</t>
  </si>
  <si>
    <t>Please provide justification while changing the priority of thet icket.</t>
  </si>
  <si>
    <t>IM280122</t>
  </si>
  <si>
    <t>Please provide jsutification while changing the priority of the ticket.</t>
  </si>
  <si>
    <t>IM280273</t>
  </si>
  <si>
    <t>IM280308</t>
  </si>
  <si>
    <t>IM280316</t>
  </si>
  <si>
    <t>IM280347</t>
  </si>
  <si>
    <t>IM280362</t>
  </si>
  <si>
    <t>IM280455</t>
  </si>
  <si>
    <t>IM280541</t>
  </si>
  <si>
    <t>IM280650</t>
  </si>
  <si>
    <t>IM280659</t>
  </si>
  <si>
    <t>IM280788</t>
  </si>
  <si>
    <t>Kinkar Mondal</t>
  </si>
  <si>
    <t>IM280820</t>
  </si>
  <si>
    <t>NisheethKumar Khemka</t>
  </si>
  <si>
    <t>IM280824</t>
  </si>
  <si>
    <t>IM281922</t>
  </si>
  <si>
    <t>Pleae provide justification while changing the priority of the ticket.</t>
  </si>
  <si>
    <t>IM281967</t>
  </si>
  <si>
    <t>IM281984</t>
  </si>
  <si>
    <t>IM282009</t>
  </si>
  <si>
    <t>IM282055</t>
  </si>
  <si>
    <t>IM282204</t>
  </si>
  <si>
    <t>No Data for this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</si>
</sst>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0409]m/d/yyyy"/>
    <numFmt numFmtId="165" formatCode="h:mm:ss;@"/>
  </numFmts>
  <fonts count="28" x14ac:knownFonts="1">
    <font>
      <sz val="10"/>
      <color rgb="FF000000"/>
      <name val="ARIAL"/>
      <charset val="1"/>
    </font>
    <font>
      <sz val="11"/>
      <color theme="1"/>
      <name val="Times New Roman"/>
      <family val="2"/>
      <scheme val="minor"/>
    </font>
    <font>
      <sz val="11"/>
      <color theme="1"/>
      <name val="Times New Roman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10"/>
      <color rgb="FF000000"/>
      <name val="Arial"/>
      <family val="2"/>
    </font>
    <font>
      <sz val="9"/>
      <color rgb="FF000000"/>
      <name val="Verdana"/>
      <family val="2"/>
    </font>
    <font>
      <sz val="10"/>
      <color rgb="FF000000"/>
      <name val="Arial"/>
      <family val="2"/>
    </font>
    <font>
      <b/>
      <sz val="11"/>
      <color theme="0"/>
      <name val="Times New Roman"/>
      <family val="2"/>
      <scheme val="minor"/>
    </font>
    <font>
      <sz val="11"/>
      <color theme="0"/>
      <name val="Times New Roman"/>
      <family val="2"/>
      <scheme val="minor"/>
    </font>
    <font>
      <sz val="10"/>
      <name val="Arial"/>
      <family val="2"/>
    </font>
    <font>
      <sz val="8"/>
      <color indexed="8"/>
      <name val="Tahoma"/>
      <family val="2"/>
    </font>
    <font>
      <b/>
      <sz val="8"/>
      <color theme="0"/>
      <name val="Tahoma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3"/>
      <color rgb="FF707880"/>
      <name val="Arial"/>
      <family val="2"/>
    </font>
    <font>
      <b/>
      <sz val="10"/>
      <color theme="0"/>
      <name val="Arial"/>
      <family val="2"/>
    </font>
    <font>
      <sz val="24"/>
      <color theme="9" tint="-0.499984740745262"/>
      <name val="Copperplate Gothic Bold"/>
      <family val="2"/>
    </font>
    <font>
      <sz val="10"/>
      <color theme="0"/>
      <name val="Arial"/>
      <family val="2"/>
    </font>
    <font>
      <b/>
      <sz val="12"/>
      <color rgb="FF000000"/>
      <name val="Arial Black"/>
      <family val="2"/>
    </font>
    <font>
      <b/>
      <sz val="10"/>
      <color rgb="FF000000"/>
      <name val="Arial Black"/>
      <family val="2"/>
    </font>
    <font>
      <b/>
      <sz val="10"/>
      <color theme="0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indexed="9"/>
        <bgColor indexed="0"/>
      </patternFill>
    </fill>
    <fill>
      <patternFill patternType="solid">
        <fgColor indexed="10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theme="5" tint="-0.499984740745262"/>
        <bgColor theme="5" tint="-0.49998474074526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10"/>
      </left>
      <right style="medium">
        <color indexed="64"/>
      </right>
      <top style="thin">
        <color indexed="64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64"/>
      </top>
      <bottom style="thin">
        <color indexed="10"/>
      </bottom>
      <diagonal/>
    </border>
    <border>
      <left style="medium">
        <color indexed="64"/>
      </left>
      <right style="thin">
        <color indexed="10"/>
      </right>
      <top style="thin">
        <color indexed="64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7" fillId="0" borderId="0" applyNumberFormat="0" applyFill="0" applyBorder="0" applyAlignment="0" applyProtection="0"/>
    <xf numFmtId="0" fontId="2" fillId="0" borderId="0"/>
    <xf numFmtId="0" fontId="9" fillId="0" borderId="0"/>
    <xf numFmtId="0" fontId="1" fillId="0" borderId="0"/>
    <xf numFmtId="0" fontId="11" fillId="0" borderId="0"/>
    <xf numFmtId="0" fontId="1" fillId="0" borderId="0"/>
    <xf numFmtId="0" fontId="3" fillId="0" borderId="0"/>
    <xf numFmtId="0" fontId="14" fillId="0" borderId="0"/>
    <xf numFmtId="9" fontId="19" fillId="0" borderId="0" applyFont="0" applyFill="0" applyBorder="0" applyAlignment="0" applyProtection="0"/>
  </cellStyleXfs>
  <cellXfs count="16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1" xfId="0" applyBorder="1"/>
    <xf numFmtId="0" fontId="4" fillId="0" borderId="3" xfId="0" applyFont="1" applyBorder="1" applyAlignment="1">
      <alignment horizontal="center" vertical="top"/>
    </xf>
    <xf numFmtId="0" fontId="0" fillId="0" borderId="0" xfId="0" applyAlignment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top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 vertical="top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/>
    </xf>
    <xf numFmtId="0" fontId="7" fillId="0" borderId="1" xfId="1" applyFill="1" applyBorder="1" applyAlignment="1">
      <alignment horizontal="center"/>
    </xf>
    <xf numFmtId="0" fontId="8" fillId="0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0" fillId="0" borderId="0" xfId="0" applyFill="1" applyBorder="1" applyAlignment="1">
      <alignment vertical="top"/>
    </xf>
    <xf numFmtId="0" fontId="3" fillId="0" borderId="0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0" fontId="14" fillId="0" borderId="0" xfId="8"/>
    <xf numFmtId="0" fontId="14" fillId="3" borderId="0" xfId="8" applyFill="1" applyAlignment="1">
      <alignment horizontal="center"/>
    </xf>
    <xf numFmtId="0" fontId="14" fillId="4" borderId="0" xfId="8" applyFill="1"/>
    <xf numFmtId="0" fontId="15" fillId="5" borderId="1" xfId="8" applyFont="1" applyFill="1" applyBorder="1" applyAlignment="1" applyProtection="1">
      <alignment vertical="top" wrapText="1" readingOrder="1"/>
      <protection locked="0"/>
    </xf>
    <xf numFmtId="164" fontId="15" fillId="5" borderId="1" xfId="8" applyNumberFormat="1" applyFont="1" applyFill="1" applyBorder="1" applyAlignment="1" applyProtection="1">
      <alignment vertical="top" wrapText="1" readingOrder="1"/>
      <protection locked="0"/>
    </xf>
    <xf numFmtId="0" fontId="15" fillId="5" borderId="1" xfId="8" applyFont="1" applyFill="1" applyBorder="1" applyAlignment="1" applyProtection="1">
      <alignment vertical="top" readingOrder="1"/>
      <protection locked="0"/>
    </xf>
    <xf numFmtId="164" fontId="15" fillId="5" borderId="1" xfId="8" applyNumberFormat="1" applyFont="1" applyFill="1" applyBorder="1" applyAlignment="1" applyProtection="1">
      <alignment vertical="top" readingOrder="1"/>
      <protection locked="0"/>
    </xf>
    <xf numFmtId="165" fontId="12" fillId="6" borderId="0" xfId="8" applyNumberFormat="1" applyFont="1" applyFill="1" applyBorder="1" applyAlignment="1" applyProtection="1">
      <alignment horizontal="center" wrapText="1"/>
      <protection locked="0"/>
    </xf>
    <xf numFmtId="165" fontId="13" fillId="7" borderId="0" xfId="8" applyNumberFormat="1" applyFont="1" applyFill="1" applyBorder="1" applyAlignment="1" applyProtection="1">
      <alignment horizontal="center" wrapText="1"/>
      <protection locked="0"/>
    </xf>
    <xf numFmtId="0" fontId="16" fillId="8" borderId="12" xfId="8" applyFont="1" applyFill="1" applyBorder="1" applyAlignment="1" applyProtection="1">
      <alignment horizontal="center" vertical="center" wrapText="1" readingOrder="1"/>
      <protection locked="0"/>
    </xf>
    <xf numFmtId="0" fontId="17" fillId="0" borderId="13" xfId="8" applyFont="1" applyBorder="1" applyAlignment="1" applyProtection="1">
      <alignment horizontal="center" vertical="center" wrapText="1" readingOrder="1"/>
      <protection locked="0"/>
    </xf>
    <xf numFmtId="0" fontId="17" fillId="0" borderId="14" xfId="8" applyFont="1" applyBorder="1" applyAlignment="1" applyProtection="1">
      <alignment horizontal="center" vertical="center" wrapText="1" readingOrder="1"/>
      <protection locked="0"/>
    </xf>
    <xf numFmtId="0" fontId="17" fillId="0" borderId="15" xfId="8" applyFont="1" applyBorder="1" applyAlignment="1" applyProtection="1">
      <alignment horizontal="center" vertical="center" wrapText="1" readingOrder="1"/>
      <protection locked="0"/>
    </xf>
    <xf numFmtId="0" fontId="17" fillId="0" borderId="16" xfId="8" applyFont="1" applyBorder="1" applyAlignment="1" applyProtection="1">
      <alignment horizontal="center" vertical="center" wrapText="1" readingOrder="1"/>
      <protection locked="0"/>
    </xf>
    <xf numFmtId="0" fontId="17" fillId="0" borderId="17" xfId="8" applyFont="1" applyBorder="1" applyAlignment="1" applyProtection="1">
      <alignment horizontal="center" vertical="center" wrapText="1" readingOrder="1"/>
      <protection locked="0"/>
    </xf>
    <xf numFmtId="0" fontId="17" fillId="0" borderId="18" xfId="8" applyFont="1" applyBorder="1" applyAlignment="1" applyProtection="1">
      <alignment horizontal="center" vertical="center" wrapText="1" readingOrder="1"/>
      <protection locked="0"/>
    </xf>
    <xf numFmtId="10" fontId="18" fillId="10" borderId="13" xfId="9" applyNumberFormat="1" applyFont="1" applyFill="1" applyBorder="1" applyAlignment="1" applyProtection="1">
      <alignment horizontal="center" vertical="top" wrapText="1" readingOrder="1"/>
      <protection locked="0"/>
    </xf>
    <xf numFmtId="0" fontId="18" fillId="10" borderId="14" xfId="8" applyFont="1" applyFill="1" applyBorder="1" applyAlignment="1" applyProtection="1">
      <alignment horizontal="center" vertical="top" wrapText="1" readingOrder="1"/>
      <protection locked="0"/>
    </xf>
    <xf numFmtId="10" fontId="18" fillId="10" borderId="14" xfId="9" applyNumberFormat="1" applyFont="1" applyFill="1" applyBorder="1" applyAlignment="1" applyProtection="1">
      <alignment horizontal="center" vertical="top" wrapText="1" readingOrder="1"/>
      <protection locked="0"/>
    </xf>
    <xf numFmtId="0" fontId="18" fillId="10" borderId="15" xfId="8" applyFont="1" applyFill="1" applyBorder="1" applyAlignment="1" applyProtection="1">
      <alignment vertical="top" wrapText="1" readingOrder="1"/>
      <protection locked="0"/>
    </xf>
    <xf numFmtId="10" fontId="17" fillId="0" borderId="16" xfId="9" applyNumberFormat="1" applyFont="1" applyBorder="1" applyAlignment="1" applyProtection="1">
      <alignment horizontal="center" vertical="center" wrapText="1" readingOrder="1"/>
      <protection locked="0"/>
    </xf>
    <xf numFmtId="10" fontId="17" fillId="0" borderId="17" xfId="9" applyNumberFormat="1" applyFont="1" applyBorder="1" applyAlignment="1" applyProtection="1">
      <alignment horizontal="center" vertical="center" wrapText="1" readingOrder="1"/>
      <protection locked="0"/>
    </xf>
    <xf numFmtId="0" fontId="18" fillId="9" borderId="22" xfId="8" applyFont="1" applyFill="1" applyBorder="1" applyAlignment="1" applyProtection="1">
      <alignment horizontal="center" vertical="top" wrapText="1" readingOrder="1"/>
      <protection locked="0"/>
    </xf>
    <xf numFmtId="0" fontId="18" fillId="9" borderId="23" xfId="8" applyFont="1" applyFill="1" applyBorder="1" applyAlignment="1" applyProtection="1">
      <alignment horizontal="center" vertical="top" wrapText="1" readingOrder="1"/>
      <protection locked="0"/>
    </xf>
    <xf numFmtId="0" fontId="18" fillId="9" borderId="24" xfId="8" applyFont="1" applyFill="1" applyBorder="1" applyAlignment="1" applyProtection="1">
      <alignment horizontal="center" vertical="top" wrapText="1" readingOrder="1"/>
      <protection locked="0"/>
    </xf>
    <xf numFmtId="0" fontId="14" fillId="0" borderId="0" xfId="8" applyAlignment="1"/>
    <xf numFmtId="0" fontId="18" fillId="0" borderId="0" xfId="8" applyFont="1" applyAlignment="1" applyProtection="1">
      <alignment vertical="top" readingOrder="1"/>
      <protection locked="0"/>
    </xf>
    <xf numFmtId="0" fontId="15" fillId="5" borderId="1" xfId="8" applyFont="1" applyFill="1" applyBorder="1" applyAlignment="1" applyProtection="1">
      <alignment horizontal="center" vertical="top" readingOrder="1"/>
      <protection locked="0"/>
    </xf>
    <xf numFmtId="0" fontId="15" fillId="11" borderId="1" xfId="8" applyFont="1" applyFill="1" applyBorder="1" applyAlignment="1" applyProtection="1">
      <alignment vertical="top" readingOrder="1"/>
      <protection locked="0"/>
    </xf>
    <xf numFmtId="0" fontId="10" fillId="0" borderId="0" xfId="7" applyFont="1" applyAlignment="1">
      <alignment horizontal="center" vertical="center"/>
    </xf>
    <xf numFmtId="164" fontId="15" fillId="5" borderId="1" xfId="8" applyNumberFormat="1" applyFont="1" applyFill="1" applyBorder="1" applyAlignment="1" applyProtection="1">
      <alignment horizontal="center" vertical="top" readingOrder="1"/>
      <protection locked="0"/>
    </xf>
    <xf numFmtId="0" fontId="15" fillId="0" borderId="1" xfId="8" applyFont="1" applyFill="1" applyBorder="1" applyAlignment="1" applyProtection="1">
      <alignment horizontal="center" vertical="top" readingOrder="1"/>
      <protection locked="0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/>
    <xf numFmtId="0" fontId="6" fillId="0" borderId="1" xfId="0" applyFont="1" applyFill="1" applyBorder="1" applyAlignment="1">
      <alignment horizontal="center"/>
    </xf>
    <xf numFmtId="0" fontId="0" fillId="0" borderId="0" xfId="0" applyFill="1" applyAlignment="1">
      <alignment vertical="top"/>
    </xf>
    <xf numFmtId="0" fontId="20" fillId="0" borderId="0" xfId="0" applyFont="1" applyFill="1"/>
    <xf numFmtId="0" fontId="3" fillId="0" borderId="0" xfId="0" applyFont="1" applyFill="1" applyAlignment="1">
      <alignment horizontal="center" vertical="top"/>
    </xf>
    <xf numFmtId="0" fontId="3" fillId="0" borderId="0" xfId="0" applyFont="1" applyFill="1"/>
    <xf numFmtId="0" fontId="3" fillId="0" borderId="0" xfId="0" applyFont="1"/>
    <xf numFmtId="0" fontId="21" fillId="0" borderId="0" xfId="0" applyFont="1"/>
    <xf numFmtId="0" fontId="3" fillId="0" borderId="11" xfId="0" applyFont="1" applyBorder="1" applyAlignment="1">
      <alignment horizontal="center"/>
    </xf>
    <xf numFmtId="0" fontId="3" fillId="0" borderId="11" xfId="0" applyFont="1" applyFill="1" applyBorder="1" applyAlignment="1">
      <alignment horizontal="center" vertical="center"/>
    </xf>
    <xf numFmtId="0" fontId="0" fillId="0" borderId="8" xfId="0" applyBorder="1"/>
    <xf numFmtId="0" fontId="3" fillId="0" borderId="7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top"/>
    </xf>
    <xf numFmtId="0" fontId="3" fillId="0" borderId="0" xfId="0" applyFont="1" applyBorder="1"/>
    <xf numFmtId="0" fontId="3" fillId="0" borderId="0" xfId="0" applyFont="1" applyFill="1" applyBorder="1" applyAlignment="1">
      <alignment horizontal="center" vertical="top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14" borderId="25" xfId="0" applyFill="1" applyBorder="1" applyAlignment="1">
      <alignment horizontal="center"/>
    </xf>
    <xf numFmtId="0" fontId="0" fillId="0" borderId="0" xfId="0" applyBorder="1"/>
    <xf numFmtId="0" fontId="22" fillId="16" borderId="29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22" fillId="16" borderId="30" xfId="0" applyFont="1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22" fillId="16" borderId="33" xfId="0" applyFont="1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0" borderId="28" xfId="0" applyBorder="1"/>
    <xf numFmtId="0" fontId="0" fillId="0" borderId="31" xfId="0" applyBorder="1"/>
    <xf numFmtId="0" fontId="0" fillId="14" borderId="30" xfId="0" applyNumberFormat="1" applyFill="1" applyBorder="1" applyAlignment="1">
      <alignment horizontal="center"/>
    </xf>
    <xf numFmtId="0" fontId="0" fillId="18" borderId="27" xfId="0" applyNumberFormat="1" applyFill="1" applyBorder="1" applyAlignment="1">
      <alignment horizontal="center"/>
    </xf>
    <xf numFmtId="0" fontId="24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17" borderId="34" xfId="0" applyFill="1" applyBorder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/>
    </xf>
    <xf numFmtId="10" fontId="0" fillId="19" borderId="31" xfId="0" applyNumberFormat="1" applyFill="1" applyBorder="1" applyAlignment="1">
      <alignment horizontal="center"/>
    </xf>
    <xf numFmtId="0" fontId="6" fillId="13" borderId="34" xfId="0" applyFont="1" applyFill="1" applyBorder="1" applyAlignment="1">
      <alignment horizontal="center"/>
    </xf>
    <xf numFmtId="10" fontId="0" fillId="19" borderId="32" xfId="0" applyNumberFormat="1" applyFill="1" applyBorder="1" applyAlignment="1">
      <alignment horizontal="center"/>
    </xf>
    <xf numFmtId="0" fontId="22" fillId="12" borderId="29" xfId="0" applyFont="1" applyFill="1" applyBorder="1" applyAlignment="1">
      <alignment horizontal="center"/>
    </xf>
    <xf numFmtId="0" fontId="22" fillId="12" borderId="33" xfId="0" applyFont="1" applyFill="1" applyBorder="1" applyAlignment="1">
      <alignment horizontal="center"/>
    </xf>
    <xf numFmtId="0" fontId="22" fillId="12" borderId="30" xfId="0" applyFont="1" applyFill="1" applyBorder="1" applyAlignment="1">
      <alignment horizontal="center"/>
    </xf>
    <xf numFmtId="0" fontId="0" fillId="14" borderId="30" xfId="0" applyFill="1" applyBorder="1" applyAlignment="1">
      <alignment horizontal="center"/>
    </xf>
    <xf numFmtId="0" fontId="0" fillId="18" borderId="19" xfId="0" applyNumberFormat="1" applyFill="1" applyBorder="1" applyAlignment="1">
      <alignment horizontal="center"/>
    </xf>
    <xf numFmtId="0" fontId="0" fillId="18" borderId="31" xfId="0" applyNumberFormat="1" applyFill="1" applyBorder="1" applyAlignment="1">
      <alignment horizontal="center"/>
    </xf>
    <xf numFmtId="0" fontId="0" fillId="18" borderId="32" xfId="0" applyNumberFormat="1" applyFill="1" applyBorder="1" applyAlignment="1">
      <alignment horizontal="center"/>
    </xf>
    <xf numFmtId="0" fontId="0" fillId="18" borderId="35" xfId="0" applyNumberFormat="1" applyFill="1" applyBorder="1" applyAlignment="1">
      <alignment horizontal="center"/>
    </xf>
    <xf numFmtId="0" fontId="0" fillId="18" borderId="36" xfId="0" applyNumberFormat="1" applyFill="1" applyBorder="1" applyAlignment="1">
      <alignment horizontal="center"/>
    </xf>
    <xf numFmtId="0" fontId="0" fillId="0" borderId="21" xfId="0" applyBorder="1"/>
    <xf numFmtId="0" fontId="0" fillId="0" borderId="20" xfId="0" applyBorder="1"/>
    <xf numFmtId="0" fontId="0" fillId="0" borderId="19" xfId="0" applyBorder="1"/>
    <xf numFmtId="0" fontId="0" fillId="14" borderId="25" xfId="0" applyFill="1" applyBorder="1" applyAlignment="1">
      <alignment horizontal="left"/>
    </xf>
    <xf numFmtId="0" fontId="0" fillId="18" borderId="35" xfId="0" applyFill="1" applyBorder="1" applyAlignment="1">
      <alignment horizontal="left"/>
    </xf>
    <xf numFmtId="0" fontId="0" fillId="18" borderId="27" xfId="0" applyFill="1" applyBorder="1" applyAlignment="1">
      <alignment horizontal="left"/>
    </xf>
    <xf numFmtId="0" fontId="0" fillId="18" borderId="36" xfId="0" applyFill="1" applyBorder="1" applyAlignment="1">
      <alignment horizontal="left"/>
    </xf>
    <xf numFmtId="0" fontId="6" fillId="13" borderId="28" xfId="0" applyFont="1" applyFill="1" applyBorder="1" applyAlignment="1">
      <alignment horizontal="left"/>
    </xf>
    <xf numFmtId="0" fontId="6" fillId="13" borderId="26" xfId="0" applyFont="1" applyFill="1" applyBorder="1" applyAlignment="1">
      <alignment horizontal="left"/>
    </xf>
    <xf numFmtId="0" fontId="4" fillId="17" borderId="28" xfId="0" applyFont="1" applyFill="1" applyBorder="1" applyAlignment="1">
      <alignment horizontal="left" vertical="center"/>
    </xf>
    <xf numFmtId="0" fontId="4" fillId="17" borderId="26" xfId="0" applyFont="1" applyFill="1" applyBorder="1" applyAlignment="1">
      <alignment horizontal="left" vertical="center"/>
    </xf>
    <xf numFmtId="0" fontId="0" fillId="14" borderId="29" xfId="0" applyNumberForma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0" fontId="0" fillId="22" borderId="29" xfId="0" applyNumberFormat="1" applyFill="1" applyBorder="1" applyAlignment="1">
      <alignment horizontal="center"/>
    </xf>
    <xf numFmtId="0" fontId="3" fillId="22" borderId="30" xfId="0" applyFont="1" applyFill="1" applyBorder="1"/>
    <xf numFmtId="0" fontId="14" fillId="0" borderId="0" xfId="8"/>
    <xf numFmtId="0" fontId="18" fillId="0" borderId="0" xfId="8" applyFont="1" applyAlignment="1" applyProtection="1">
      <alignment vertical="top" wrapText="1" readingOrder="1"/>
      <protection locked="0"/>
    </xf>
    <xf numFmtId="0" fontId="18" fillId="9" borderId="21" xfId="8" applyFont="1" applyFill="1" applyBorder="1" applyAlignment="1" applyProtection="1">
      <alignment horizontal="center" vertical="top" wrapText="1" readingOrder="1"/>
      <protection locked="0"/>
    </xf>
    <xf numFmtId="0" fontId="18" fillId="9" borderId="20" xfId="8" applyFont="1" applyFill="1" applyBorder="1" applyAlignment="1" applyProtection="1">
      <alignment horizontal="center" vertical="top" wrapText="1" readingOrder="1"/>
      <protection locked="0"/>
    </xf>
    <xf numFmtId="0" fontId="18" fillId="9" borderId="19" xfId="8" applyFont="1" applyFill="1" applyBorder="1" applyAlignment="1" applyProtection="1">
      <alignment horizontal="center" vertical="top" wrapText="1" readingOrder="1"/>
      <protection locked="0"/>
    </xf>
    <xf numFmtId="0" fontId="0" fillId="15" borderId="29" xfId="0" applyFill="1" applyBorder="1" applyAlignment="1">
      <alignment horizontal="center"/>
    </xf>
    <xf numFmtId="0" fontId="0" fillId="15" borderId="33" xfId="0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23" fillId="15" borderId="21" xfId="0" applyFont="1" applyFill="1" applyBorder="1" applyAlignment="1">
      <alignment horizontal="center"/>
    </xf>
    <xf numFmtId="0" fontId="23" fillId="15" borderId="20" xfId="0" applyFont="1" applyFill="1" applyBorder="1" applyAlignment="1">
      <alignment horizontal="center"/>
    </xf>
    <xf numFmtId="0" fontId="23" fillId="15" borderId="19" xfId="0" applyFont="1" applyFill="1" applyBorder="1" applyAlignment="1">
      <alignment horizontal="center"/>
    </xf>
    <xf numFmtId="0" fontId="23" fillId="15" borderId="26" xfId="0" applyFont="1" applyFill="1" applyBorder="1" applyAlignment="1">
      <alignment horizontal="center"/>
    </xf>
    <xf numFmtId="0" fontId="23" fillId="15" borderId="34" xfId="0" applyFont="1" applyFill="1" applyBorder="1" applyAlignment="1">
      <alignment horizontal="center"/>
    </xf>
    <xf numFmtId="0" fontId="23" fillId="15" borderId="32" xfId="0" applyFont="1" applyFill="1" applyBorder="1" applyAlignment="1">
      <alignment horizontal="center"/>
    </xf>
    <xf numFmtId="0" fontId="26" fillId="20" borderId="21" xfId="0" applyFont="1" applyFill="1" applyBorder="1" applyAlignment="1">
      <alignment horizontal="center" vertical="center"/>
    </xf>
    <xf numFmtId="0" fontId="26" fillId="20" borderId="20" xfId="0" applyFont="1" applyFill="1" applyBorder="1" applyAlignment="1">
      <alignment horizontal="center" vertical="center"/>
    </xf>
    <xf numFmtId="0" fontId="26" fillId="20" borderId="19" xfId="0" applyFont="1" applyFill="1" applyBorder="1" applyAlignment="1">
      <alignment horizontal="center" vertical="center"/>
    </xf>
    <xf numFmtId="0" fontId="26" fillId="20" borderId="28" xfId="0" applyFont="1" applyFill="1" applyBorder="1" applyAlignment="1">
      <alignment horizontal="center" vertical="center"/>
    </xf>
    <xf numFmtId="0" fontId="26" fillId="20" borderId="0" xfId="0" applyFont="1" applyFill="1" applyBorder="1" applyAlignment="1">
      <alignment horizontal="center" vertical="center"/>
    </xf>
    <xf numFmtId="0" fontId="26" fillId="20" borderId="31" xfId="0" applyFont="1" applyFill="1" applyBorder="1" applyAlignment="1">
      <alignment horizontal="center" vertical="center"/>
    </xf>
    <xf numFmtId="0" fontId="25" fillId="20" borderId="21" xfId="0" applyFont="1" applyFill="1" applyBorder="1" applyAlignment="1">
      <alignment horizontal="center" vertical="center"/>
    </xf>
    <xf numFmtId="0" fontId="25" fillId="20" borderId="20" xfId="0" applyFont="1" applyFill="1" applyBorder="1" applyAlignment="1">
      <alignment horizontal="center" vertical="center"/>
    </xf>
    <xf numFmtId="0" fontId="25" fillId="20" borderId="19" xfId="0" applyFont="1" applyFill="1" applyBorder="1" applyAlignment="1">
      <alignment horizontal="center" vertical="center"/>
    </xf>
    <xf numFmtId="0" fontId="25" fillId="20" borderId="26" xfId="0" applyFont="1" applyFill="1" applyBorder="1" applyAlignment="1">
      <alignment horizontal="center" vertical="center"/>
    </xf>
    <xf numFmtId="0" fontId="25" fillId="20" borderId="34" xfId="0" applyFont="1" applyFill="1" applyBorder="1" applyAlignment="1">
      <alignment horizontal="center" vertical="center"/>
    </xf>
    <xf numFmtId="0" fontId="25" fillId="20" borderId="32" xfId="0" applyFont="1" applyFill="1" applyBorder="1" applyAlignment="1">
      <alignment horizontal="center" vertical="center"/>
    </xf>
    <xf numFmtId="0" fontId="27" fillId="21" borderId="21" xfId="0" applyFont="1" applyFill="1" applyBorder="1" applyAlignment="1">
      <alignment horizontal="center" vertical="center"/>
    </xf>
    <xf numFmtId="0" fontId="27" fillId="21" borderId="20" xfId="0" applyFont="1" applyFill="1" applyBorder="1" applyAlignment="1">
      <alignment horizontal="center" vertical="center"/>
    </xf>
    <xf numFmtId="0" fontId="27" fillId="21" borderId="19" xfId="0" applyFont="1" applyFill="1" applyBorder="1" applyAlignment="1">
      <alignment horizontal="center" vertical="center"/>
    </xf>
    <xf numFmtId="0" fontId="27" fillId="21" borderId="26" xfId="0" applyFont="1" applyFill="1" applyBorder="1" applyAlignment="1">
      <alignment horizontal="center" vertical="center"/>
    </xf>
    <xf numFmtId="0" fontId="27" fillId="21" borderId="34" xfId="0" applyFont="1" applyFill="1" applyBorder="1" applyAlignment="1">
      <alignment horizontal="center" vertical="center"/>
    </xf>
    <xf numFmtId="0" fontId="27" fillId="21" borderId="32" xfId="0" applyFont="1" applyFill="1" applyBorder="1" applyAlignment="1">
      <alignment horizontal="center" vertical="center"/>
    </xf>
  </cellXfs>
  <cellStyles count="10">
    <cellStyle name="Hyperlink" xfId="1" builtinId="8"/>
    <cellStyle name="Normal" xfId="0" builtinId="0"/>
    <cellStyle name="Normal 2" xfId="3"/>
    <cellStyle name="Normal 2 2" xfId="7"/>
    <cellStyle name="Normal 3" xfId="2"/>
    <cellStyle name="Normal 3 2" xfId="6"/>
    <cellStyle name="Normal 4" xfId="5"/>
    <cellStyle name="Normal 5" xfId="4"/>
    <cellStyle name="Normal 6" xfId="8"/>
    <cellStyle name="Percent 2" xfId="9"/>
  </cellStyles>
  <dxfs count="86"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[Managed Service Incident Audit_ Feb 2016.xlsm]Dashboard!PivotTable1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Dashboard!$C$5</c:f>
              <c:strCache>
                <c:ptCount val="1"/>
                <c:pt idx="0">
                  <c:v>Met 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Dashboard!$B$6:$B$15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Dashboard!$C$6:$C$15</c:f>
              <c:numCache>
                <c:formatCode>General</c:formatCode>
                <c:ptCount val="9"/>
                <c:pt idx="0">
                  <c:v>8</c:v>
                </c:pt>
                <c:pt idx="1">
                  <c:v>7</c:v>
                </c:pt>
                <c:pt idx="4">
                  <c:v>20</c:v>
                </c:pt>
                <c:pt idx="6">
                  <c:v>1</c:v>
                </c:pt>
                <c:pt idx="7">
                  <c:v>19</c:v>
                </c:pt>
                <c:pt idx="8">
                  <c:v>9</c:v>
                </c:pt>
              </c:numCache>
            </c:numRef>
          </c:val>
        </c:ser>
        <c:ser>
          <c:idx val="1"/>
          <c:order val="1"/>
          <c:tx>
            <c:strRef>
              <c:f>Dashboard!$D$5</c:f>
              <c:strCache>
                <c:ptCount val="1"/>
                <c:pt idx="0">
                  <c:v>Not Met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Dashboard!$B$6:$B$15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Dashboard!$D$6:$D$15</c:f>
              <c:numCache>
                <c:formatCode>General</c:formatCode>
                <c:ptCount val="9"/>
                <c:pt idx="1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34</c:v>
                </c:pt>
                <c:pt idx="8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4197200"/>
        <c:axId val="-64201008"/>
      </c:barChart>
      <c:catAx>
        <c:axId val="-6419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4201008"/>
        <c:crossesAt val="0"/>
        <c:auto val="1"/>
        <c:lblAlgn val="ctr"/>
        <c:lblOffset val="100"/>
        <c:noMultiLvlLbl val="0"/>
      </c:catAx>
      <c:valAx>
        <c:axId val="-64201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  <a:head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4197200"/>
        <c:crosses val="autoZero"/>
        <c:crossBetween val="between"/>
      </c:valAx>
      <c:spPr>
        <a:noFill/>
        <a:ln>
          <a:noFill/>
        </a:ln>
        <a:effectLst/>
        <a:sp3d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0" cmpd="dbl">
                  <a:solidFill>
                    <a:schemeClr val="tx1"/>
                  </a:solidFill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0" cmpd="dbl">
                  <a:solidFill>
                    <a:schemeClr val="tx1"/>
                  </a:solidFill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39234436880517887"/>
          <c:y val="2.6041666666666668E-2"/>
          <c:w val="0.33283244431666925"/>
          <c:h val="9.4901711504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 w="0" cmpd="dbl">
                <a:solidFill>
                  <a:schemeClr val="tx1"/>
                </a:solidFill>
              </a:ln>
              <a:noFill/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12700" cmpd="sng">
      <a:solidFill>
        <a:schemeClr val="tx1">
          <a:alpha val="96000"/>
        </a:schemeClr>
      </a:solidFill>
    </a:ln>
    <a:effectLst>
      <a:glow rad="63500">
        <a:schemeClr val="accent3">
          <a:satMod val="175000"/>
          <a:alpha val="41000"/>
        </a:schemeClr>
      </a:glow>
    </a:effectLst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[Managed Service Incident Audit_ Feb 2016.xlsm]Dashboard!PivotTable1</c:name>
    <c:fmtId val="5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Teamwise Contribution of Met Incidents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2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5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6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7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8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9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2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5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6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7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8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9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</c:pivotFmts>
    <c:view3D>
      <c:rotX val="20"/>
      <c:rotY val="160"/>
      <c:depthPercent val="100"/>
      <c:rAngAx val="0"/>
      <c:perspective val="5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Dashboard!$C$5</c:f>
              <c:strCache>
                <c:ptCount val="1"/>
                <c:pt idx="0">
                  <c:v>Met </c:v>
                </c:pt>
              </c:strCache>
            </c:strRef>
          </c:tx>
          <c:explosion val="9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explosion val="2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Dashboard!$B$6:$B$15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Dashboard!$C$6:$C$15</c:f>
              <c:numCache>
                <c:formatCode>General</c:formatCode>
                <c:ptCount val="9"/>
                <c:pt idx="0">
                  <c:v>8</c:v>
                </c:pt>
                <c:pt idx="1">
                  <c:v>7</c:v>
                </c:pt>
                <c:pt idx="4">
                  <c:v>20</c:v>
                </c:pt>
                <c:pt idx="6">
                  <c:v>1</c:v>
                </c:pt>
                <c:pt idx="7">
                  <c:v>19</c:v>
                </c:pt>
                <c:pt idx="8">
                  <c:v>9</c:v>
                </c:pt>
              </c:numCache>
            </c:numRef>
          </c:val>
        </c:ser>
        <c:ser>
          <c:idx val="1"/>
          <c:order val="1"/>
          <c:tx>
            <c:strRef>
              <c:f>Dashboard!$D$5</c:f>
              <c:strCache>
                <c:ptCount val="1"/>
                <c:pt idx="0">
                  <c:v>Not Met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Dashboard!$B$6:$B$15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Dashboard!$D$6:$D$15</c:f>
              <c:numCache>
                <c:formatCode>General</c:formatCode>
                <c:ptCount val="9"/>
                <c:pt idx="1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34</c:v>
                </c:pt>
                <c:pt idx="8">
                  <c:v>13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75000"/>
      </a:schemeClr>
    </a:solidFill>
    <a:ln w="12700">
      <a:solidFill>
        <a:schemeClr val="tx1"/>
      </a:solidFill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3 Defaulter Teams (KPI Wise)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Dashboard!$G$7</c:f>
              <c:strCache>
                <c:ptCount val="1"/>
                <c:pt idx="0">
                  <c:v>Stop Clock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Dashboard!$F$8:$F$10</c:f>
              <c:strCache>
                <c:ptCount val="3"/>
                <c:pt idx="0">
                  <c:v>Unix Server Support</c:v>
                </c:pt>
                <c:pt idx="1">
                  <c:v>Wintel Server Support</c:v>
                </c:pt>
                <c:pt idx="2">
                  <c:v>Service Desk</c:v>
                </c:pt>
              </c:strCache>
            </c:strRef>
          </c:cat>
          <c:val>
            <c:numRef>
              <c:f>Dashboard!$G$8:$G$10</c:f>
              <c:numCache>
                <c:formatCode>General</c:formatCode>
                <c:ptCount val="3"/>
                <c:pt idx="0">
                  <c:v>5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Dashboard!$H$7</c:f>
              <c:strCache>
                <c:ptCount val="1"/>
                <c:pt idx="0">
                  <c:v>Priority Change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Dashboard!$F$8:$F$10</c:f>
              <c:strCache>
                <c:ptCount val="3"/>
                <c:pt idx="0">
                  <c:v>Unix Server Support</c:v>
                </c:pt>
                <c:pt idx="1">
                  <c:v>Wintel Server Support</c:v>
                </c:pt>
                <c:pt idx="2">
                  <c:v>Service Desk</c:v>
                </c:pt>
              </c:strCache>
            </c:strRef>
          </c:cat>
          <c:val>
            <c:numRef>
              <c:f>Dashboard!$H$8:$H$10</c:f>
              <c:numCache>
                <c:formatCode>General</c:formatCode>
                <c:ptCount val="3"/>
                <c:pt idx="0">
                  <c:v>31</c:v>
                </c:pt>
                <c:pt idx="1">
                  <c:v>12</c:v>
                </c:pt>
                <c:pt idx="2">
                  <c:v>3</c:v>
                </c:pt>
              </c:numCache>
            </c:numRef>
          </c:val>
        </c:ser>
        <c:ser>
          <c:idx val="2"/>
          <c:order val="2"/>
          <c:tx>
            <c:strRef>
              <c:f>Dashboard!$I$7</c:f>
              <c:strCache>
                <c:ptCount val="1"/>
                <c:pt idx="0">
                  <c:v>Appropriate Resolution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Dashboard!$F$8:$F$10</c:f>
              <c:strCache>
                <c:ptCount val="3"/>
                <c:pt idx="0">
                  <c:v>Unix Server Support</c:v>
                </c:pt>
                <c:pt idx="1">
                  <c:v>Wintel Server Support</c:v>
                </c:pt>
                <c:pt idx="2">
                  <c:v>Service Desk</c:v>
                </c:pt>
              </c:strCache>
            </c:strRef>
          </c:cat>
          <c:val>
            <c:numRef>
              <c:f>Dashboard!$I$8:$I$10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4151376"/>
        <c:axId val="-24149744"/>
      </c:barChart>
      <c:catAx>
        <c:axId val="-2415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149744"/>
        <c:crosses val="autoZero"/>
        <c:auto val="1"/>
        <c:lblAlgn val="ctr"/>
        <c:lblOffset val="100"/>
        <c:noMultiLvlLbl val="0"/>
      </c:catAx>
      <c:valAx>
        <c:axId val="-24149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15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14481627296588"/>
          <c:y val="0.89662590744093185"/>
          <c:w val="0.67029199475065615"/>
          <c:h val="6.88600448381452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12700" cap="flat" cmpd="sng" algn="ctr">
      <a:solidFill>
        <a:schemeClr val="tx1"/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KPI wise Share of Each Tower</a:t>
            </a:r>
          </a:p>
        </c:rich>
      </c:tx>
      <c:layout>
        <c:manualLayout>
          <c:xMode val="edge"/>
          <c:yMode val="edge"/>
          <c:x val="0.28137550480723905"/>
          <c:y val="1.35336729967577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0"/>
      <c:rotY val="20"/>
      <c:depthPercent val="100"/>
      <c:rAngAx val="1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783204065783912"/>
          <c:y val="0.15114155251141553"/>
          <c:w val="0.91471703677489757"/>
          <c:h val="0.35853701506489771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Dashboard!$G$20</c:f>
              <c:strCache>
                <c:ptCount val="1"/>
                <c:pt idx="0">
                  <c:v>Stop Clock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Dashboard!$F$21:$F$29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Dashboard!$G$21:$G$29</c:f>
              <c:numCache>
                <c:formatCode>General</c:formatCode>
                <c:ptCount val="9"/>
                <c:pt idx="0">
                  <c:v>8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19</c:v>
                </c:pt>
                <c:pt idx="5">
                  <c:v>0</c:v>
                </c:pt>
                <c:pt idx="6">
                  <c:v>1</c:v>
                </c:pt>
                <c:pt idx="7">
                  <c:v>37</c:v>
                </c:pt>
                <c:pt idx="8">
                  <c:v>14</c:v>
                </c:pt>
              </c:numCache>
            </c:numRef>
          </c:val>
        </c:ser>
        <c:ser>
          <c:idx val="1"/>
          <c:order val="1"/>
          <c:tx>
            <c:strRef>
              <c:f>Dashboard!$H$20</c:f>
              <c:strCache>
                <c:ptCount val="1"/>
                <c:pt idx="0">
                  <c:v>Response Time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Dashboard!$F$21:$F$29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Dashboard!$H$21:$H$29</c:f>
              <c:numCache>
                <c:formatCode>General</c:formatCode>
                <c:ptCount val="9"/>
                <c:pt idx="0">
                  <c:v>6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21</c:v>
                </c:pt>
                <c:pt idx="5">
                  <c:v>2</c:v>
                </c:pt>
                <c:pt idx="6">
                  <c:v>2</c:v>
                </c:pt>
                <c:pt idx="7">
                  <c:v>50</c:v>
                </c:pt>
                <c:pt idx="8">
                  <c:v>19</c:v>
                </c:pt>
              </c:numCache>
            </c:numRef>
          </c:val>
        </c:ser>
        <c:ser>
          <c:idx val="2"/>
          <c:order val="2"/>
          <c:tx>
            <c:strRef>
              <c:f>Dashboard!$I$20</c:f>
              <c:strCache>
                <c:ptCount val="1"/>
                <c:pt idx="0">
                  <c:v>Priority Change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Dashboard!$F$21:$F$29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Dashboard!$I$21:$I$29</c:f>
              <c:numCache>
                <c:formatCode>General</c:formatCode>
                <c:ptCount val="9"/>
                <c:pt idx="0">
                  <c:v>6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6</c:v>
                </c:pt>
              </c:numCache>
            </c:numRef>
          </c:val>
        </c:ser>
        <c:ser>
          <c:idx val="3"/>
          <c:order val="3"/>
          <c:tx>
            <c:strRef>
              <c:f>Dashboard!$J$20</c:f>
              <c:strCache>
                <c:ptCount val="1"/>
                <c:pt idx="0">
                  <c:v>Appropriate Resolution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Dashboard!$F$21:$F$29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Dashboard!$J$21:$J$29</c:f>
              <c:numCache>
                <c:formatCode>General</c:formatCode>
                <c:ptCount val="9"/>
                <c:pt idx="0">
                  <c:v>8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22</c:v>
                </c:pt>
                <c:pt idx="5">
                  <c:v>2</c:v>
                </c:pt>
                <c:pt idx="6">
                  <c:v>2</c:v>
                </c:pt>
                <c:pt idx="7">
                  <c:v>51</c:v>
                </c:pt>
                <c:pt idx="8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-1987136624"/>
        <c:axId val="-1987143152"/>
        <c:axId val="-828792960"/>
      </c:bar3DChart>
      <c:catAx>
        <c:axId val="-198713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7143152"/>
        <c:crosses val="autoZero"/>
        <c:auto val="1"/>
        <c:lblAlgn val="ctr"/>
        <c:lblOffset val="100"/>
        <c:noMultiLvlLbl val="0"/>
      </c:catAx>
      <c:valAx>
        <c:axId val="-1987143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7136624"/>
        <c:crosses val="autoZero"/>
        <c:crossBetween val="between"/>
      </c:valAx>
      <c:serAx>
        <c:axId val="-828792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87143152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2">
  <dgm:title val=""/>
  <dgm:desc val=""/>
  <dgm:catLst>
    <dgm:cat type="accent3" pri="112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ln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8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EB595174-D3C9-4D59-8456-72A79DB11A53}" type="doc">
      <dgm:prSet loTypeId="urn:microsoft.com/office/officeart/2008/layout/VerticalCurvedList" loCatId="list" qsTypeId="urn:microsoft.com/office/officeart/2005/8/quickstyle/simple5" qsCatId="simple" csTypeId="urn:microsoft.com/office/officeart/2005/8/colors/accent3_2" csCatId="accent3" phldr="1"/>
      <dgm:spPr/>
      <dgm:t>
        <a:bodyPr/>
        <a:lstStyle/>
        <a:p>
          <a:endParaRPr lang="en-IN"/>
        </a:p>
      </dgm:t>
    </dgm:pt>
    <dgm:pt modelId="{585E0C86-72DD-47C0-9F97-A9B89530ACC2}">
      <dgm:prSet phldrT="[Text]" custT="1"/>
      <dgm:spPr/>
      <dgm:t>
        <a:bodyPr/>
        <a:lstStyle/>
        <a:p>
          <a:r>
            <a:rPr lang="en-IN" sz="1400">
              <a:solidFill>
                <a:sysClr val="windowText" lastClr="000000"/>
              </a:solidFill>
            </a:rPr>
            <a:t>54% of 118 incidents has met the audit criteria. DBA Team has 0 number of "Not Met" incidents.</a:t>
          </a:r>
        </a:p>
      </dgm:t>
    </dgm:pt>
    <dgm:pt modelId="{5594B32E-E28D-429F-BF28-8608A0016C89}" type="parTrans" cxnId="{517FD986-6BD1-406B-82A2-9F17937C127D}">
      <dgm:prSet/>
      <dgm:spPr/>
      <dgm:t>
        <a:bodyPr/>
        <a:lstStyle/>
        <a:p>
          <a:endParaRPr lang="en-IN">
            <a:solidFill>
              <a:sysClr val="windowText" lastClr="000000"/>
            </a:solidFill>
          </a:endParaRPr>
        </a:p>
      </dgm:t>
    </dgm:pt>
    <dgm:pt modelId="{3242CF46-2E5C-46D5-8A55-6C0B913FE7BF}" type="sibTrans" cxnId="{517FD986-6BD1-406B-82A2-9F17937C127D}">
      <dgm:prSet/>
      <dgm:spPr/>
      <dgm:t>
        <a:bodyPr/>
        <a:lstStyle/>
        <a:p>
          <a:endParaRPr lang="en-IN">
            <a:solidFill>
              <a:sysClr val="windowText" lastClr="000000"/>
            </a:solidFill>
          </a:endParaRPr>
        </a:p>
      </dgm:t>
    </dgm:pt>
    <dgm:pt modelId="{33B9D159-5525-41F2-AE05-9368EC426577}">
      <dgm:prSet phldrT="[Text]" custT="1"/>
      <dgm:spPr/>
      <dgm:t>
        <a:bodyPr/>
        <a:lstStyle/>
        <a:p>
          <a:r>
            <a:rPr lang="en-IN" sz="1400">
              <a:solidFill>
                <a:sysClr val="windowText" lastClr="000000"/>
              </a:solidFill>
            </a:rPr>
            <a:t>Unix  and  Wintel Server Support teams rank lower in contribution of met incident category</a:t>
          </a:r>
          <a:r>
            <a:rPr lang="en-IN">
              <a:solidFill>
                <a:sysClr val="windowText" lastClr="000000"/>
              </a:solidFill>
            </a:rPr>
            <a:t>.</a:t>
          </a:r>
        </a:p>
      </dgm:t>
    </dgm:pt>
    <dgm:pt modelId="{3AA1519B-56CE-487B-970A-8C4AE8A3CB4A}" type="parTrans" cxnId="{E3561A88-1FF8-48D2-91EC-FF81AA625499}">
      <dgm:prSet/>
      <dgm:spPr/>
      <dgm:t>
        <a:bodyPr/>
        <a:lstStyle/>
        <a:p>
          <a:endParaRPr lang="en-IN">
            <a:solidFill>
              <a:sysClr val="windowText" lastClr="000000"/>
            </a:solidFill>
          </a:endParaRPr>
        </a:p>
      </dgm:t>
    </dgm:pt>
    <dgm:pt modelId="{5C0BBB71-4D0A-47AD-82B0-63442AD5CA1C}" type="sibTrans" cxnId="{E3561A88-1FF8-48D2-91EC-FF81AA625499}">
      <dgm:prSet/>
      <dgm:spPr/>
      <dgm:t>
        <a:bodyPr/>
        <a:lstStyle/>
        <a:p>
          <a:endParaRPr lang="en-IN">
            <a:solidFill>
              <a:sysClr val="windowText" lastClr="000000"/>
            </a:solidFill>
          </a:endParaRPr>
        </a:p>
      </dgm:t>
    </dgm:pt>
    <dgm:pt modelId="{DA517184-8D0E-4C4C-9443-7DBED9869EBA}">
      <dgm:prSet phldrT="[Text]" custT="1"/>
      <dgm:spPr/>
      <dgm:t>
        <a:bodyPr/>
        <a:lstStyle/>
        <a:p>
          <a:endParaRPr lang="en-IN" sz="1200">
            <a:solidFill>
              <a:sysClr val="windowText" lastClr="000000"/>
            </a:solidFill>
          </a:endParaRPr>
        </a:p>
        <a:p>
          <a:r>
            <a:rPr lang="en-IN" sz="1400">
              <a:solidFill>
                <a:sysClr val="windowText" lastClr="000000"/>
              </a:solidFill>
            </a:rPr>
            <a:t>Network Device Support has the highest number of met incident among 9 towers.</a:t>
          </a:r>
        </a:p>
        <a:p>
          <a:endParaRPr lang="en-IN">
            <a:solidFill>
              <a:sysClr val="windowText" lastClr="000000"/>
            </a:solidFill>
          </a:endParaRPr>
        </a:p>
      </dgm:t>
    </dgm:pt>
    <dgm:pt modelId="{C9357E84-A095-4F1D-A713-7CB5076E5999}" type="parTrans" cxnId="{2727D829-8E23-4269-964F-C8FF5230F134}">
      <dgm:prSet/>
      <dgm:spPr/>
      <dgm:t>
        <a:bodyPr/>
        <a:lstStyle/>
        <a:p>
          <a:endParaRPr lang="en-IN">
            <a:solidFill>
              <a:sysClr val="windowText" lastClr="000000"/>
            </a:solidFill>
          </a:endParaRPr>
        </a:p>
      </dgm:t>
    </dgm:pt>
    <dgm:pt modelId="{5597E48D-70B2-4AD0-B8BE-4CC486A4CC3F}" type="sibTrans" cxnId="{2727D829-8E23-4269-964F-C8FF5230F134}">
      <dgm:prSet/>
      <dgm:spPr/>
      <dgm:t>
        <a:bodyPr/>
        <a:lstStyle/>
        <a:p>
          <a:endParaRPr lang="en-IN">
            <a:solidFill>
              <a:sysClr val="windowText" lastClr="000000"/>
            </a:solidFill>
          </a:endParaRPr>
        </a:p>
      </dgm:t>
    </dgm:pt>
    <dgm:pt modelId="{4182B329-A0A3-4578-A326-AF0451BC7174}">
      <dgm:prSet phldrT="[Text]" custT="1"/>
      <dgm:spPr/>
      <dgm:t>
        <a:bodyPr/>
        <a:lstStyle/>
        <a:p>
          <a:r>
            <a:rPr lang="en-IN" sz="1400">
              <a:solidFill>
                <a:sysClr val="windowText" lastClr="000000"/>
              </a:solidFill>
            </a:rPr>
            <a:t>Top 3 KPIs wherein maximum number of incident has failed to meet the criterion are Stop Clock, Priority Change &amp; Resolution Category </a:t>
          </a:r>
        </a:p>
      </dgm:t>
    </dgm:pt>
    <dgm:pt modelId="{B9454566-D486-4E24-A3AD-C5129259A838}" type="parTrans" cxnId="{EA024997-1340-486D-B4E1-F1800B9E2190}">
      <dgm:prSet/>
      <dgm:spPr/>
      <dgm:t>
        <a:bodyPr/>
        <a:lstStyle/>
        <a:p>
          <a:endParaRPr lang="en-IN">
            <a:solidFill>
              <a:sysClr val="windowText" lastClr="000000"/>
            </a:solidFill>
          </a:endParaRPr>
        </a:p>
      </dgm:t>
    </dgm:pt>
    <dgm:pt modelId="{25EF3766-D70E-4E59-BEC4-9FED85B50556}" type="sibTrans" cxnId="{EA024997-1340-486D-B4E1-F1800B9E2190}">
      <dgm:prSet/>
      <dgm:spPr/>
      <dgm:t>
        <a:bodyPr/>
        <a:lstStyle/>
        <a:p>
          <a:endParaRPr lang="en-IN">
            <a:solidFill>
              <a:sysClr val="windowText" lastClr="000000"/>
            </a:solidFill>
          </a:endParaRPr>
        </a:p>
      </dgm:t>
    </dgm:pt>
    <dgm:pt modelId="{31995BC2-02C3-4026-8E20-78B8C8A30228}" type="pres">
      <dgm:prSet presAssocID="{EB595174-D3C9-4D59-8456-72A79DB11A53}" presName="Name0" presStyleCnt="0">
        <dgm:presLayoutVars>
          <dgm:chMax val="7"/>
          <dgm:chPref val="7"/>
          <dgm:dir/>
        </dgm:presLayoutVars>
      </dgm:prSet>
      <dgm:spPr/>
      <dgm:t>
        <a:bodyPr/>
        <a:lstStyle/>
        <a:p>
          <a:endParaRPr lang="en-US"/>
        </a:p>
      </dgm:t>
    </dgm:pt>
    <dgm:pt modelId="{C7DEF8F5-BE60-4BED-8308-85C379BA11B5}" type="pres">
      <dgm:prSet presAssocID="{EB595174-D3C9-4D59-8456-72A79DB11A53}" presName="Name1" presStyleCnt="0"/>
      <dgm:spPr/>
      <dgm:t>
        <a:bodyPr/>
        <a:lstStyle/>
        <a:p>
          <a:endParaRPr lang="en-US"/>
        </a:p>
      </dgm:t>
    </dgm:pt>
    <dgm:pt modelId="{285BA316-9D9D-4058-AB9F-15DBAE621DE5}" type="pres">
      <dgm:prSet presAssocID="{EB595174-D3C9-4D59-8456-72A79DB11A53}" presName="cycle" presStyleCnt="0"/>
      <dgm:spPr/>
      <dgm:t>
        <a:bodyPr/>
        <a:lstStyle/>
        <a:p>
          <a:endParaRPr lang="en-US"/>
        </a:p>
      </dgm:t>
    </dgm:pt>
    <dgm:pt modelId="{23430CC5-9ACB-4455-981F-6643366A5922}" type="pres">
      <dgm:prSet presAssocID="{EB595174-D3C9-4D59-8456-72A79DB11A53}" presName="srcNode" presStyleLbl="node1" presStyleIdx="0" presStyleCnt="4"/>
      <dgm:spPr/>
      <dgm:t>
        <a:bodyPr/>
        <a:lstStyle/>
        <a:p>
          <a:endParaRPr lang="en-US"/>
        </a:p>
      </dgm:t>
    </dgm:pt>
    <dgm:pt modelId="{7B57F4D8-27A0-4E1F-8223-2B9F814F1C49}" type="pres">
      <dgm:prSet presAssocID="{EB595174-D3C9-4D59-8456-72A79DB11A53}" presName="conn" presStyleLbl="parChTrans1D2" presStyleIdx="0" presStyleCnt="1" custLinFactNeighborX="283" custLinFactNeighborY="-567"/>
      <dgm:spPr/>
      <dgm:t>
        <a:bodyPr/>
        <a:lstStyle/>
        <a:p>
          <a:endParaRPr lang="en-US"/>
        </a:p>
      </dgm:t>
    </dgm:pt>
    <dgm:pt modelId="{210B6417-4496-4E5C-B8BE-34572F26AECD}" type="pres">
      <dgm:prSet presAssocID="{EB595174-D3C9-4D59-8456-72A79DB11A53}" presName="extraNode" presStyleLbl="node1" presStyleIdx="0" presStyleCnt="4"/>
      <dgm:spPr/>
      <dgm:t>
        <a:bodyPr/>
        <a:lstStyle/>
        <a:p>
          <a:endParaRPr lang="en-US"/>
        </a:p>
      </dgm:t>
    </dgm:pt>
    <dgm:pt modelId="{1CCE9FA1-91FF-4E81-996F-9C749FD718C2}" type="pres">
      <dgm:prSet presAssocID="{EB595174-D3C9-4D59-8456-72A79DB11A53}" presName="dstNode" presStyleLbl="node1" presStyleIdx="0" presStyleCnt="4"/>
      <dgm:spPr/>
      <dgm:t>
        <a:bodyPr/>
        <a:lstStyle/>
        <a:p>
          <a:endParaRPr lang="en-US"/>
        </a:p>
      </dgm:t>
    </dgm:pt>
    <dgm:pt modelId="{B971CEC9-9139-431C-88B8-CABCBBB6EFC7}" type="pres">
      <dgm:prSet presAssocID="{585E0C86-72DD-47C0-9F97-A9B89530ACC2}" presName="text_1" presStyleLbl="node1" presStyleIdx="0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1099A71-8509-435F-B702-BC8C64D06090}" type="pres">
      <dgm:prSet presAssocID="{585E0C86-72DD-47C0-9F97-A9B89530ACC2}" presName="accent_1" presStyleCnt="0"/>
      <dgm:spPr/>
      <dgm:t>
        <a:bodyPr/>
        <a:lstStyle/>
        <a:p>
          <a:endParaRPr lang="en-US"/>
        </a:p>
      </dgm:t>
    </dgm:pt>
    <dgm:pt modelId="{C1F167D6-4610-48DD-AB0E-C4F336C9C6CF}" type="pres">
      <dgm:prSet presAssocID="{585E0C86-72DD-47C0-9F97-A9B89530ACC2}" presName="accentRepeatNode" presStyleLbl="solidFgAcc1" presStyleIdx="0" presStyleCnt="4"/>
      <dgm:spPr/>
      <dgm:t>
        <a:bodyPr/>
        <a:lstStyle/>
        <a:p>
          <a:endParaRPr lang="en-US"/>
        </a:p>
      </dgm:t>
    </dgm:pt>
    <dgm:pt modelId="{94E8E379-1765-4D0C-B0DA-9647844557F5}" type="pres">
      <dgm:prSet presAssocID="{33B9D159-5525-41F2-AE05-9368EC426577}" presName="text_2" presStyleLbl="node1" presStyleIdx="1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4A3C0C9-B537-49B5-AE80-AFC0F7067613}" type="pres">
      <dgm:prSet presAssocID="{33B9D159-5525-41F2-AE05-9368EC426577}" presName="accent_2" presStyleCnt="0"/>
      <dgm:spPr/>
      <dgm:t>
        <a:bodyPr/>
        <a:lstStyle/>
        <a:p>
          <a:endParaRPr lang="en-US"/>
        </a:p>
      </dgm:t>
    </dgm:pt>
    <dgm:pt modelId="{6A53854F-2F9B-419B-9FE0-1BA8E7370CAF}" type="pres">
      <dgm:prSet presAssocID="{33B9D159-5525-41F2-AE05-9368EC426577}" presName="accentRepeatNode" presStyleLbl="solidFgAcc1" presStyleIdx="1" presStyleCnt="4"/>
      <dgm:spPr/>
      <dgm:t>
        <a:bodyPr/>
        <a:lstStyle/>
        <a:p>
          <a:endParaRPr lang="en-US"/>
        </a:p>
      </dgm:t>
    </dgm:pt>
    <dgm:pt modelId="{2F2A5726-8BB6-49D8-907A-348B4E4D0337}" type="pres">
      <dgm:prSet presAssocID="{DA517184-8D0E-4C4C-9443-7DBED9869EBA}" presName="text_3" presStyleLbl="node1" presStyleIdx="2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4543676-7A35-4887-A00E-34BFAB6916EB}" type="pres">
      <dgm:prSet presAssocID="{DA517184-8D0E-4C4C-9443-7DBED9869EBA}" presName="accent_3" presStyleCnt="0"/>
      <dgm:spPr/>
      <dgm:t>
        <a:bodyPr/>
        <a:lstStyle/>
        <a:p>
          <a:endParaRPr lang="en-US"/>
        </a:p>
      </dgm:t>
    </dgm:pt>
    <dgm:pt modelId="{937584FD-CBE2-4921-9095-7832DB3A5B54}" type="pres">
      <dgm:prSet presAssocID="{DA517184-8D0E-4C4C-9443-7DBED9869EBA}" presName="accentRepeatNode" presStyleLbl="solidFgAcc1" presStyleIdx="2" presStyleCnt="4"/>
      <dgm:spPr/>
      <dgm:t>
        <a:bodyPr/>
        <a:lstStyle/>
        <a:p>
          <a:endParaRPr lang="en-US"/>
        </a:p>
      </dgm:t>
    </dgm:pt>
    <dgm:pt modelId="{E54503A9-C2C7-49F1-AD3B-F0BD26EFD607}" type="pres">
      <dgm:prSet presAssocID="{4182B329-A0A3-4578-A326-AF0451BC7174}" presName="text_4" presStyleLbl="node1" presStyleIdx="3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49E5AD-671A-4BBB-9309-D9A90571DA63}" type="pres">
      <dgm:prSet presAssocID="{4182B329-A0A3-4578-A326-AF0451BC7174}" presName="accent_4" presStyleCnt="0"/>
      <dgm:spPr/>
      <dgm:t>
        <a:bodyPr/>
        <a:lstStyle/>
        <a:p>
          <a:endParaRPr lang="en-US"/>
        </a:p>
      </dgm:t>
    </dgm:pt>
    <dgm:pt modelId="{777722FE-1BF3-4628-8599-624DCAA21338}" type="pres">
      <dgm:prSet presAssocID="{4182B329-A0A3-4578-A326-AF0451BC7174}" presName="accentRepeatNode" presStyleLbl="solidFgAcc1" presStyleIdx="3" presStyleCnt="4"/>
      <dgm:spPr/>
      <dgm:t>
        <a:bodyPr/>
        <a:lstStyle/>
        <a:p>
          <a:endParaRPr lang="en-US"/>
        </a:p>
      </dgm:t>
    </dgm:pt>
  </dgm:ptLst>
  <dgm:cxnLst>
    <dgm:cxn modelId="{A5BCCED4-1B0F-4C6C-8EFB-AAEF8B648BE7}" type="presOf" srcId="{EB595174-D3C9-4D59-8456-72A79DB11A53}" destId="{31995BC2-02C3-4026-8E20-78B8C8A30228}" srcOrd="0" destOrd="0" presId="urn:microsoft.com/office/officeart/2008/layout/VerticalCurvedList"/>
    <dgm:cxn modelId="{2727D829-8E23-4269-964F-C8FF5230F134}" srcId="{EB595174-D3C9-4D59-8456-72A79DB11A53}" destId="{DA517184-8D0E-4C4C-9443-7DBED9869EBA}" srcOrd="2" destOrd="0" parTransId="{C9357E84-A095-4F1D-A713-7CB5076E5999}" sibTransId="{5597E48D-70B2-4AD0-B8BE-4CC486A4CC3F}"/>
    <dgm:cxn modelId="{64F330F0-4BA4-43D6-B099-38E2B8153732}" type="presOf" srcId="{DA517184-8D0E-4C4C-9443-7DBED9869EBA}" destId="{2F2A5726-8BB6-49D8-907A-348B4E4D0337}" srcOrd="0" destOrd="0" presId="urn:microsoft.com/office/officeart/2008/layout/VerticalCurvedList"/>
    <dgm:cxn modelId="{EF445E52-CC21-4F20-8FDC-6E2821777630}" type="presOf" srcId="{33B9D159-5525-41F2-AE05-9368EC426577}" destId="{94E8E379-1765-4D0C-B0DA-9647844557F5}" srcOrd="0" destOrd="0" presId="urn:microsoft.com/office/officeart/2008/layout/VerticalCurvedList"/>
    <dgm:cxn modelId="{10129098-E400-4542-9691-4C2C9D490F7A}" type="presOf" srcId="{3242CF46-2E5C-46D5-8A55-6C0B913FE7BF}" destId="{7B57F4D8-27A0-4E1F-8223-2B9F814F1C49}" srcOrd="0" destOrd="0" presId="urn:microsoft.com/office/officeart/2008/layout/VerticalCurvedList"/>
    <dgm:cxn modelId="{E3561A88-1FF8-48D2-91EC-FF81AA625499}" srcId="{EB595174-D3C9-4D59-8456-72A79DB11A53}" destId="{33B9D159-5525-41F2-AE05-9368EC426577}" srcOrd="1" destOrd="0" parTransId="{3AA1519B-56CE-487B-970A-8C4AE8A3CB4A}" sibTransId="{5C0BBB71-4D0A-47AD-82B0-63442AD5CA1C}"/>
    <dgm:cxn modelId="{517FD986-6BD1-406B-82A2-9F17937C127D}" srcId="{EB595174-D3C9-4D59-8456-72A79DB11A53}" destId="{585E0C86-72DD-47C0-9F97-A9B89530ACC2}" srcOrd="0" destOrd="0" parTransId="{5594B32E-E28D-429F-BF28-8608A0016C89}" sibTransId="{3242CF46-2E5C-46D5-8A55-6C0B913FE7BF}"/>
    <dgm:cxn modelId="{EA024997-1340-486D-B4E1-F1800B9E2190}" srcId="{EB595174-D3C9-4D59-8456-72A79DB11A53}" destId="{4182B329-A0A3-4578-A326-AF0451BC7174}" srcOrd="3" destOrd="0" parTransId="{B9454566-D486-4E24-A3AD-C5129259A838}" sibTransId="{25EF3766-D70E-4E59-BEC4-9FED85B50556}"/>
    <dgm:cxn modelId="{04459A38-4E37-4B22-9A0B-489B645C129F}" type="presOf" srcId="{4182B329-A0A3-4578-A326-AF0451BC7174}" destId="{E54503A9-C2C7-49F1-AD3B-F0BD26EFD607}" srcOrd="0" destOrd="0" presId="urn:microsoft.com/office/officeart/2008/layout/VerticalCurvedList"/>
    <dgm:cxn modelId="{01B0296E-F2C0-4A98-B192-8AD086084CA7}" type="presOf" srcId="{585E0C86-72DD-47C0-9F97-A9B89530ACC2}" destId="{B971CEC9-9139-431C-88B8-CABCBBB6EFC7}" srcOrd="0" destOrd="0" presId="urn:microsoft.com/office/officeart/2008/layout/VerticalCurvedList"/>
    <dgm:cxn modelId="{893794A7-D050-481B-9205-B38A946BC2E5}" type="presParOf" srcId="{31995BC2-02C3-4026-8E20-78B8C8A30228}" destId="{C7DEF8F5-BE60-4BED-8308-85C379BA11B5}" srcOrd="0" destOrd="0" presId="urn:microsoft.com/office/officeart/2008/layout/VerticalCurvedList"/>
    <dgm:cxn modelId="{7C82619B-0CB6-42C9-BBEF-28FFF2273D24}" type="presParOf" srcId="{C7DEF8F5-BE60-4BED-8308-85C379BA11B5}" destId="{285BA316-9D9D-4058-AB9F-15DBAE621DE5}" srcOrd="0" destOrd="0" presId="urn:microsoft.com/office/officeart/2008/layout/VerticalCurvedList"/>
    <dgm:cxn modelId="{A2F3785E-2C4B-4A8B-937F-DC16A12CAF31}" type="presParOf" srcId="{285BA316-9D9D-4058-AB9F-15DBAE621DE5}" destId="{23430CC5-9ACB-4455-981F-6643366A5922}" srcOrd="0" destOrd="0" presId="urn:microsoft.com/office/officeart/2008/layout/VerticalCurvedList"/>
    <dgm:cxn modelId="{B24BF625-EFAB-4F59-ACF2-1B73576827FD}" type="presParOf" srcId="{285BA316-9D9D-4058-AB9F-15DBAE621DE5}" destId="{7B57F4D8-27A0-4E1F-8223-2B9F814F1C49}" srcOrd="1" destOrd="0" presId="urn:microsoft.com/office/officeart/2008/layout/VerticalCurvedList"/>
    <dgm:cxn modelId="{E5DEFE23-D10F-4E32-BBD6-875F5FAE2386}" type="presParOf" srcId="{285BA316-9D9D-4058-AB9F-15DBAE621DE5}" destId="{210B6417-4496-4E5C-B8BE-34572F26AECD}" srcOrd="2" destOrd="0" presId="urn:microsoft.com/office/officeart/2008/layout/VerticalCurvedList"/>
    <dgm:cxn modelId="{E48E324A-C194-4C41-91BF-2AC1540CCC4D}" type="presParOf" srcId="{285BA316-9D9D-4058-AB9F-15DBAE621DE5}" destId="{1CCE9FA1-91FF-4E81-996F-9C749FD718C2}" srcOrd="3" destOrd="0" presId="urn:microsoft.com/office/officeart/2008/layout/VerticalCurvedList"/>
    <dgm:cxn modelId="{E11D241C-D5B2-4207-A530-C657FA80D7E5}" type="presParOf" srcId="{C7DEF8F5-BE60-4BED-8308-85C379BA11B5}" destId="{B971CEC9-9139-431C-88B8-CABCBBB6EFC7}" srcOrd="1" destOrd="0" presId="urn:microsoft.com/office/officeart/2008/layout/VerticalCurvedList"/>
    <dgm:cxn modelId="{A873B8B7-64EE-4E4D-A287-4E8DDBC47091}" type="presParOf" srcId="{C7DEF8F5-BE60-4BED-8308-85C379BA11B5}" destId="{81099A71-8509-435F-B702-BC8C64D06090}" srcOrd="2" destOrd="0" presId="urn:microsoft.com/office/officeart/2008/layout/VerticalCurvedList"/>
    <dgm:cxn modelId="{91892F2C-2629-4FBA-986B-A3A540E103EE}" type="presParOf" srcId="{81099A71-8509-435F-B702-BC8C64D06090}" destId="{C1F167D6-4610-48DD-AB0E-C4F336C9C6CF}" srcOrd="0" destOrd="0" presId="urn:microsoft.com/office/officeart/2008/layout/VerticalCurvedList"/>
    <dgm:cxn modelId="{B6DC89C6-F17C-47C4-87A1-8D2477F814AB}" type="presParOf" srcId="{C7DEF8F5-BE60-4BED-8308-85C379BA11B5}" destId="{94E8E379-1765-4D0C-B0DA-9647844557F5}" srcOrd="3" destOrd="0" presId="urn:microsoft.com/office/officeart/2008/layout/VerticalCurvedList"/>
    <dgm:cxn modelId="{3E27699B-010F-4A9D-A573-E761B2D8D91C}" type="presParOf" srcId="{C7DEF8F5-BE60-4BED-8308-85C379BA11B5}" destId="{B4A3C0C9-B537-49B5-AE80-AFC0F7067613}" srcOrd="4" destOrd="0" presId="urn:microsoft.com/office/officeart/2008/layout/VerticalCurvedList"/>
    <dgm:cxn modelId="{22E86129-6A8B-421D-A882-0616496F052B}" type="presParOf" srcId="{B4A3C0C9-B537-49B5-AE80-AFC0F7067613}" destId="{6A53854F-2F9B-419B-9FE0-1BA8E7370CAF}" srcOrd="0" destOrd="0" presId="urn:microsoft.com/office/officeart/2008/layout/VerticalCurvedList"/>
    <dgm:cxn modelId="{CCF43880-D027-4926-A763-056F5EB55AAF}" type="presParOf" srcId="{C7DEF8F5-BE60-4BED-8308-85C379BA11B5}" destId="{2F2A5726-8BB6-49D8-907A-348B4E4D0337}" srcOrd="5" destOrd="0" presId="urn:microsoft.com/office/officeart/2008/layout/VerticalCurvedList"/>
    <dgm:cxn modelId="{AF988390-8BB3-4969-93C2-F464B65875BE}" type="presParOf" srcId="{C7DEF8F5-BE60-4BED-8308-85C379BA11B5}" destId="{44543676-7A35-4887-A00E-34BFAB6916EB}" srcOrd="6" destOrd="0" presId="urn:microsoft.com/office/officeart/2008/layout/VerticalCurvedList"/>
    <dgm:cxn modelId="{AA82239B-1A51-4175-9ECD-F78BCC104FFF}" type="presParOf" srcId="{44543676-7A35-4887-A00E-34BFAB6916EB}" destId="{937584FD-CBE2-4921-9095-7832DB3A5B54}" srcOrd="0" destOrd="0" presId="urn:microsoft.com/office/officeart/2008/layout/VerticalCurvedList"/>
    <dgm:cxn modelId="{464117D7-0CA1-4D46-B6C8-E69305CB6778}" type="presParOf" srcId="{C7DEF8F5-BE60-4BED-8308-85C379BA11B5}" destId="{E54503A9-C2C7-49F1-AD3B-F0BD26EFD607}" srcOrd="7" destOrd="0" presId="urn:microsoft.com/office/officeart/2008/layout/VerticalCurvedList"/>
    <dgm:cxn modelId="{85BF073F-351D-40F2-B2C0-13DC24FF76E0}" type="presParOf" srcId="{C7DEF8F5-BE60-4BED-8308-85C379BA11B5}" destId="{6C49E5AD-671A-4BBB-9309-D9A90571DA63}" srcOrd="8" destOrd="0" presId="urn:microsoft.com/office/officeart/2008/layout/VerticalCurvedList"/>
    <dgm:cxn modelId="{FCA815E9-E1A4-4453-B5F9-C1A41197730F}" type="presParOf" srcId="{6C49E5AD-671A-4BBB-9309-D9A90571DA63}" destId="{777722FE-1BF3-4628-8599-624DCAA21338}" srcOrd="0" destOrd="0" presId="urn:microsoft.com/office/officeart/2008/layout/VerticalCurvedList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7B57F4D8-27A0-4E1F-8223-2B9F814F1C49}">
      <dsp:nvSpPr>
        <dsp:cNvPr id="0" name=""/>
        <dsp:cNvSpPr/>
      </dsp:nvSpPr>
      <dsp:spPr>
        <a:xfrm>
          <a:off x="-3943785" y="-634274"/>
          <a:ext cx="4715863" cy="4715863"/>
        </a:xfrm>
        <a:prstGeom prst="blockArc">
          <a:avLst>
            <a:gd name="adj1" fmla="val 18900000"/>
            <a:gd name="adj2" fmla="val 2700000"/>
            <a:gd name="adj3" fmla="val 458"/>
          </a:avLst>
        </a:prstGeom>
        <a:noFill/>
        <a:ln w="25400" cap="flat" cmpd="sng" algn="ctr">
          <a:solidFill>
            <a:schemeClr val="accent3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971CEC9-9139-431C-88B8-CABCBBB6EFC7}">
      <dsp:nvSpPr>
        <dsp:cNvPr id="0" name=""/>
        <dsp:cNvSpPr/>
      </dsp:nvSpPr>
      <dsp:spPr>
        <a:xfrm>
          <a:off x="397609" y="269140"/>
          <a:ext cx="5578797" cy="538561"/>
        </a:xfrm>
        <a:prstGeom prst="rect">
          <a:avLst/>
        </a:prstGeom>
        <a:gradFill rotWithShape="0">
          <a:gsLst>
            <a:gs pos="0">
              <a:schemeClr val="accent3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3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3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427483" tIns="35560" rIns="35560" bIns="3556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IN" sz="1400" kern="1200">
              <a:solidFill>
                <a:sysClr val="windowText" lastClr="000000"/>
              </a:solidFill>
            </a:rPr>
            <a:t>54% of 118 incidents has met the audit criteria. DBA Team has 0 number of "Not Met" incidents.</a:t>
          </a:r>
        </a:p>
      </dsp:txBody>
      <dsp:txXfrm>
        <a:off x="397609" y="269140"/>
        <a:ext cx="5578797" cy="538561"/>
      </dsp:txXfrm>
    </dsp:sp>
    <dsp:sp modelId="{C1F167D6-4610-48DD-AB0E-C4F336C9C6CF}">
      <dsp:nvSpPr>
        <dsp:cNvPr id="0" name=""/>
        <dsp:cNvSpPr/>
      </dsp:nvSpPr>
      <dsp:spPr>
        <a:xfrm>
          <a:off x="61007" y="201820"/>
          <a:ext cx="673202" cy="673202"/>
        </a:xfrm>
        <a:prstGeom prst="ellipse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chemeClr val="accent3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</dsp:sp>
    <dsp:sp modelId="{94E8E379-1765-4D0C-B0DA-9647844557F5}">
      <dsp:nvSpPr>
        <dsp:cNvPr id="0" name=""/>
        <dsp:cNvSpPr/>
      </dsp:nvSpPr>
      <dsp:spPr>
        <a:xfrm>
          <a:off x="706378" y="1077123"/>
          <a:ext cx="5270027" cy="538561"/>
        </a:xfrm>
        <a:prstGeom prst="rect">
          <a:avLst/>
        </a:prstGeom>
        <a:gradFill rotWithShape="0">
          <a:gsLst>
            <a:gs pos="0">
              <a:schemeClr val="accent3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3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3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427483" tIns="35560" rIns="35560" bIns="3556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IN" sz="1400" kern="1200">
              <a:solidFill>
                <a:sysClr val="windowText" lastClr="000000"/>
              </a:solidFill>
            </a:rPr>
            <a:t>Unix  and  Wintel Server Support teams rank lower in contribution of met incident category</a:t>
          </a:r>
          <a:r>
            <a:rPr lang="en-IN" kern="1200">
              <a:solidFill>
                <a:sysClr val="windowText" lastClr="000000"/>
              </a:solidFill>
            </a:rPr>
            <a:t>.</a:t>
          </a:r>
        </a:p>
      </dsp:txBody>
      <dsp:txXfrm>
        <a:off x="706378" y="1077123"/>
        <a:ext cx="5270027" cy="538561"/>
      </dsp:txXfrm>
    </dsp:sp>
    <dsp:sp modelId="{6A53854F-2F9B-419B-9FE0-1BA8E7370CAF}">
      <dsp:nvSpPr>
        <dsp:cNvPr id="0" name=""/>
        <dsp:cNvSpPr/>
      </dsp:nvSpPr>
      <dsp:spPr>
        <a:xfrm>
          <a:off x="369777" y="1009803"/>
          <a:ext cx="673202" cy="673202"/>
        </a:xfrm>
        <a:prstGeom prst="ellipse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chemeClr val="accent3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</dsp:sp>
    <dsp:sp modelId="{2F2A5726-8BB6-49D8-907A-348B4E4D0337}">
      <dsp:nvSpPr>
        <dsp:cNvPr id="0" name=""/>
        <dsp:cNvSpPr/>
      </dsp:nvSpPr>
      <dsp:spPr>
        <a:xfrm>
          <a:off x="706378" y="1885105"/>
          <a:ext cx="5270027" cy="538561"/>
        </a:xfrm>
        <a:prstGeom prst="rect">
          <a:avLst/>
        </a:prstGeom>
        <a:gradFill rotWithShape="0">
          <a:gsLst>
            <a:gs pos="0">
              <a:schemeClr val="accent3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3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3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427483" tIns="30480" rIns="30480" bIns="30480" numCol="1" spcCol="1270" anchor="ctr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IN" sz="1200" kern="1200">
            <a:solidFill>
              <a:sysClr val="windowText" lastClr="000000"/>
            </a:solidFill>
          </a:endParaRPr>
        </a:p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IN" sz="1400" kern="1200">
              <a:solidFill>
                <a:sysClr val="windowText" lastClr="000000"/>
              </a:solidFill>
            </a:rPr>
            <a:t>Network Device Support has the highest number of met incident among 9 towers.</a:t>
          </a:r>
        </a:p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IN" kern="1200">
            <a:solidFill>
              <a:sysClr val="windowText" lastClr="000000"/>
            </a:solidFill>
          </a:endParaRPr>
        </a:p>
      </dsp:txBody>
      <dsp:txXfrm>
        <a:off x="706378" y="1885105"/>
        <a:ext cx="5270027" cy="538561"/>
      </dsp:txXfrm>
    </dsp:sp>
    <dsp:sp modelId="{937584FD-CBE2-4921-9095-7832DB3A5B54}">
      <dsp:nvSpPr>
        <dsp:cNvPr id="0" name=""/>
        <dsp:cNvSpPr/>
      </dsp:nvSpPr>
      <dsp:spPr>
        <a:xfrm>
          <a:off x="369777" y="1817785"/>
          <a:ext cx="673202" cy="673202"/>
        </a:xfrm>
        <a:prstGeom prst="ellipse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chemeClr val="accent3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</dsp:sp>
    <dsp:sp modelId="{E54503A9-C2C7-49F1-AD3B-F0BD26EFD607}">
      <dsp:nvSpPr>
        <dsp:cNvPr id="0" name=""/>
        <dsp:cNvSpPr/>
      </dsp:nvSpPr>
      <dsp:spPr>
        <a:xfrm>
          <a:off x="397609" y="2693088"/>
          <a:ext cx="5578797" cy="538561"/>
        </a:xfrm>
        <a:prstGeom prst="rect">
          <a:avLst/>
        </a:prstGeom>
        <a:gradFill rotWithShape="0">
          <a:gsLst>
            <a:gs pos="0">
              <a:schemeClr val="accent3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3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3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427483" tIns="35560" rIns="35560" bIns="3556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IN" sz="1400" kern="1200">
              <a:solidFill>
                <a:sysClr val="windowText" lastClr="000000"/>
              </a:solidFill>
            </a:rPr>
            <a:t>Top 3 KPIs wherein maximum number of incident has failed to meet the criterion are Stop Clock, Priority Change &amp; Resolution Category </a:t>
          </a:r>
        </a:p>
      </dsp:txBody>
      <dsp:txXfrm>
        <a:off x="397609" y="2693088"/>
        <a:ext cx="5578797" cy="538561"/>
      </dsp:txXfrm>
    </dsp:sp>
    <dsp:sp modelId="{777722FE-1BF3-4628-8599-624DCAA21338}">
      <dsp:nvSpPr>
        <dsp:cNvPr id="0" name=""/>
        <dsp:cNvSpPr/>
      </dsp:nvSpPr>
      <dsp:spPr>
        <a:xfrm>
          <a:off x="61007" y="2625768"/>
          <a:ext cx="673202" cy="673202"/>
        </a:xfrm>
        <a:prstGeom prst="ellipse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chemeClr val="accent3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VerticalCurvedList">
  <dgm:title val=""/>
  <dgm:desc val=""/>
  <dgm:catLst>
    <dgm:cat type="list" pri="20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chMax val="7"/>
      <dgm:chPref val="7"/>
      <dgm:dir/>
    </dgm:varLst>
    <dgm:alg type="composite"/>
    <dgm:shape xmlns:r="http://schemas.openxmlformats.org/officeDocument/2006/relationships" r:blip="">
      <dgm:adjLst/>
    </dgm:shape>
    <dgm:constrLst>
      <dgm:constr type="w" for="ch" refType="h" refFor="ch" op="gte" fact="0.8"/>
    </dgm:constrLst>
    <dgm:layoutNode name="Name1">
      <dgm:alg type="composite"/>
      <dgm:shape xmlns:r="http://schemas.openxmlformats.org/officeDocument/2006/relationships" r:blip="">
        <dgm:adjLst/>
      </dgm:shape>
      <dgm:choose name="Name2">
        <dgm:if name="Name3" func="var" arg="dir" op="equ" val="norm">
          <dgm:choose name="Name4">
            <dgm:if name="Name5" axis="ch" ptType="node" func="cnt" op="equ" val="1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625"/>
                <dgm:constr type="w" for="ch" forName="accent_1" refType="h" refFor="ch" refForName="accent_1" op="equ"/>
                <dgm:constr type="ctrY" for="ch" forName="accent_1" refType="h" fact="0.5"/>
                <dgm:constr type="ctrX" for="ch" forName="accent_1" refType="h" fact="0.2253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primFontSz" for="ch" ptType="node" op="equ" val="65"/>
              </dgm:constrLst>
            </dgm:if>
            <dgm:if name="Name6" axis="ch" ptType="node" func="cnt" op="equ" val="2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3571"/>
                <dgm:constr type="w" for="ch" forName="accent_1" refType="h" refFor="ch" refForName="accent_1" op="equ"/>
                <dgm:constr type="ctrY" for="ch" forName="accent_1" refType="h" fact="0.2857"/>
                <dgm:constr type="ctrX" for="ch" forName="accent_1" refType="h" fact="0.1891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3571"/>
                <dgm:constr type="w" for="ch" forName="accent_2" refType="h" refFor="ch" refForName="accent_2" op="equ"/>
                <dgm:constr type="ctrY" for="ch" forName="accent_2" refType="h" fact="0.7143"/>
                <dgm:constr type="ctrX" for="ch" forName="accent_2" refType="h" fact="0.1891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primFontSz" for="ch" ptType="node" op="equ" val="65"/>
              </dgm:constrLst>
            </dgm:if>
            <dgm:if name="Name7" axis="ch" ptType="node" func="cnt" op="equ" val="3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25"/>
                <dgm:constr type="w" for="ch" forName="accent_1" refType="h" refFor="ch" refForName="accent_1" op="equ"/>
                <dgm:constr type="ctrY" for="ch" forName="accent_1" refType="h" fact="0.2"/>
                <dgm:constr type="ctrX" for="ch" forName="accent_1" refType="h" fact="0.1526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25"/>
                <dgm:constr type="w" for="ch" forName="accent_2" refType="h" refFor="ch" refForName="accent_2" op="equ"/>
                <dgm:constr type="ctrY" for="ch" forName="accent_2" refType="h" fact="0.5"/>
                <dgm:constr type="ctrX" for="ch" forName="accent_2" refType="h" fact="0.2253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25"/>
                <dgm:constr type="w" for="ch" forName="accent_3" refType="h" refFor="ch" refForName="accent_3" op="equ"/>
                <dgm:constr type="ctrY" for="ch" forName="accent_3" refType="h" fact="0.8"/>
                <dgm:constr type="ctrX" for="ch" forName="accent_3" refType="h" fact="0.1526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primFontSz" for="ch" ptType="node" op="equ" val="65"/>
              </dgm:constrLst>
            </dgm:if>
            <dgm:if name="Name8" axis="ch" ptType="node" func="cnt" op="equ" val="4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923"/>
                <dgm:constr type="w" for="ch" forName="accent_1" refType="h" refFor="ch" refForName="accent_1" op="equ"/>
                <dgm:constr type="ctrY" for="ch" forName="accent_1" refType="h" fact="0.1538"/>
                <dgm:constr type="ctrX" for="ch" forName="accent_1" refType="h" fact="0.1268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923"/>
                <dgm:constr type="w" for="ch" forName="accent_2" refType="h" refFor="ch" refForName="accent_2" op="equ"/>
                <dgm:constr type="ctrY" for="ch" forName="accent_2" refType="h" fact="0.3846"/>
                <dgm:constr type="ctrX" for="ch" forName="accent_2" refType="h" fact="0.215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923"/>
                <dgm:constr type="w" for="ch" forName="accent_3" refType="h" refFor="ch" refForName="accent_3" op="equ"/>
                <dgm:constr type="ctrY" for="ch" forName="accent_3" refType="h" fact="0.6154"/>
                <dgm:constr type="ctrX" for="ch" forName="accent_3" refType="h" fact="0.215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923"/>
                <dgm:constr type="w" for="ch" forName="accent_4" refType="h" refFor="ch" refForName="accent_4" op="equ"/>
                <dgm:constr type="ctrY" for="ch" forName="accent_4" refType="h" fact="0.8462"/>
                <dgm:constr type="ctrX" for="ch" forName="accent_4" refType="h" fact="0.1268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primFontSz" for="ch" ptType="node" op="equ" val="65"/>
              </dgm:constrLst>
            </dgm:if>
            <dgm:if name="Name9" axis="ch" ptType="node" func="cnt" op="equ" val="5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563"/>
                <dgm:constr type="w" for="ch" forName="accent_1" refType="h" refFor="ch" refForName="accent_1" op="equ"/>
                <dgm:constr type="ctrY" for="ch" forName="accent_1" refType="h" fact="0.125"/>
                <dgm:constr type="ctrX" for="ch" forName="accent_1" refType="h" fact="0.1082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563"/>
                <dgm:constr type="w" for="ch" forName="accent_2" refType="h" refFor="ch" refForName="accent_2" op="equ"/>
                <dgm:constr type="ctrY" for="ch" forName="accent_2" refType="h" fact="0.3125"/>
                <dgm:constr type="ctrX" for="ch" forName="accent_2" refType="h" fact="0.1978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563"/>
                <dgm:constr type="w" for="ch" forName="accent_3" refType="h" refFor="ch" refForName="accent_3" op="equ"/>
                <dgm:constr type="ctrY" for="ch" forName="accent_3" refType="h" fact="0.5"/>
                <dgm:constr type="ctrX" for="ch" forName="accent_3" refType="h" fact="0.2253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563"/>
                <dgm:constr type="w" for="ch" forName="accent_4" refType="h" refFor="ch" refForName="accent_4" op="equ"/>
                <dgm:constr type="ctrY" for="ch" forName="accent_4" refType="h" fact="0.6875"/>
                <dgm:constr type="ctrX" for="ch" forName="accent_4" refType="h" fact="0.1978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563"/>
                <dgm:constr type="w" for="ch" forName="accent_5" refType="h" refFor="ch" refForName="accent_5" op="equ"/>
                <dgm:constr type="ctrY" for="ch" forName="accent_5" refType="h" fact="0.875"/>
                <dgm:constr type="ctrX" for="ch" forName="accent_5" refType="h" fact="0.1082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primFontSz" for="ch" ptType="node" op="equ" val="65"/>
              </dgm:constrLst>
            </dgm:if>
            <dgm:if name="Name10" axis="ch" ptType="node" func="cnt" op="equ" val="6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316"/>
                <dgm:constr type="w" for="ch" forName="accent_1" refType="h" refFor="ch" refForName="accent_1" op="equ"/>
                <dgm:constr type="ctrY" for="ch" forName="accent_1" refType="h" fact="0.1053"/>
                <dgm:constr type="ctrX" for="ch" forName="accent_1" refType="h" fact="0.0943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316"/>
                <dgm:constr type="w" for="ch" forName="accent_2" refType="h" refFor="ch" refForName="accent_2" op="equ"/>
                <dgm:constr type="ctrY" for="ch" forName="accent_2" refType="h" fact="0.2632"/>
                <dgm:constr type="ctrX" for="ch" forName="accent_2" refType="h" fact="0.1809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316"/>
                <dgm:constr type="w" for="ch" forName="accent_3" refType="h" refFor="ch" refForName="accent_3" op="equ"/>
                <dgm:constr type="ctrY" for="ch" forName="accent_3" refType="h" fact="0.4211"/>
                <dgm:constr type="ctrX" for="ch" forName="accent_3" refType="h" fact="0.2205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316"/>
                <dgm:constr type="w" for="ch" forName="accent_4" refType="h" refFor="ch" refForName="accent_4" op="equ"/>
                <dgm:constr type="ctrY" for="ch" forName="accent_4" refType="h" fact="0.5789"/>
                <dgm:constr type="ctrX" for="ch" forName="accent_4" refType="h" fact="0.2205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316"/>
                <dgm:constr type="w" for="ch" forName="accent_5" refType="h" refFor="ch" refForName="accent_5" op="equ"/>
                <dgm:constr type="ctrY" for="ch" forName="accent_5" refType="h" fact="0.7368"/>
                <dgm:constr type="ctrX" for="ch" forName="accent_5" refType="h" fact="0.1809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h" for="ch" forName="accent_6" refType="h" fact="0.1316"/>
                <dgm:constr type="w" for="ch" forName="accent_6" refType="h" refFor="ch" refForName="accent_6" op="equ"/>
                <dgm:constr type="ctrY" for="ch" forName="accent_6" refType="h" fact="0.8947"/>
                <dgm:constr type="ctrX" for="ch" forName="accent_6" refType="h" fact="0.0943"/>
                <dgm:constr type="l" for="ch" forName="text_6" refType="ctrX" refFor="ch" refForName="accent_6"/>
                <dgm:constr type="r" for="ch" forName="text_6" refType="w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lMarg" for="ch" forName="text_6" refType="w" refFor="ch" refForName="accent_6" fact="1.8"/>
                <dgm:constr type="primFontSz" for="ch" ptType="node" op="equ" val="65"/>
              </dgm:constrLst>
            </dgm:if>
            <dgm:else name="Name11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136"/>
                <dgm:constr type="w" for="ch" forName="accent_1" refType="h" refFor="ch" refForName="accent_1" op="equ"/>
                <dgm:constr type="ctrY" for="ch" forName="accent_1" refType="h" fact="0.0909"/>
                <dgm:constr type="ctrX" for="ch" forName="accent_1" refType="h" fact="0.0835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136"/>
                <dgm:constr type="w" for="ch" forName="accent_2" refType="h" refFor="ch" refForName="accent_2" op="equ"/>
                <dgm:constr type="ctrY" for="ch" forName="accent_2" refType="h" fact="0.2273"/>
                <dgm:constr type="ctrX" for="ch" forName="accent_2" refType="h" fact="0.1658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136"/>
                <dgm:constr type="w" for="ch" forName="accent_3" refType="h" refFor="ch" refForName="accent_3" op="equ"/>
                <dgm:constr type="ctrY" for="ch" forName="accent_3" refType="h" fact="0.3636"/>
                <dgm:constr type="ctrX" for="ch" forName="accent_3" refType="h" fact="0.2109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136"/>
                <dgm:constr type="w" for="ch" forName="accent_4" refType="h" refFor="ch" refForName="accent_4" op="equ"/>
                <dgm:constr type="ctrY" for="ch" forName="accent_4" refType="h" fact="0.5"/>
                <dgm:constr type="ctrX" for="ch" forName="accent_4" refType="h" fact="0.2253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136"/>
                <dgm:constr type="w" for="ch" forName="accent_5" refType="h" refFor="ch" refForName="accent_5" op="equ"/>
                <dgm:constr type="ctrY" for="ch" forName="accent_5" refType="h" fact="0.6364"/>
                <dgm:constr type="ctrX" for="ch" forName="accent_5" refType="h" fact="0.2109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h" for="ch" forName="accent_6" refType="h" fact="0.1136"/>
                <dgm:constr type="w" for="ch" forName="accent_6" refType="h" refFor="ch" refForName="accent_6" op="equ"/>
                <dgm:constr type="ctrY" for="ch" forName="accent_6" refType="h" fact="0.7727"/>
                <dgm:constr type="ctrX" for="ch" forName="accent_6" refType="h" fact="0.1658"/>
                <dgm:constr type="l" for="ch" forName="text_6" refType="ctrX" refFor="ch" refForName="accent_6"/>
                <dgm:constr type="r" for="ch" forName="text_6" refType="w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lMarg" for="ch" forName="text_6" refType="w" refFor="ch" refForName="accent_6" fact="1.8"/>
                <dgm:constr type="h" for="ch" forName="accent_7" refType="h" fact="0.1136"/>
                <dgm:constr type="w" for="ch" forName="accent_7" refType="h" refFor="ch" refForName="accent_7" op="equ"/>
                <dgm:constr type="ctrY" for="ch" forName="accent_7" refType="h" fact="0.9091"/>
                <dgm:constr type="ctrX" for="ch" forName="accent_7" refType="h" fact="0.0835"/>
                <dgm:constr type="l" for="ch" forName="text_7" refType="ctrX" refFor="ch" refForName="accent_7"/>
                <dgm:constr type="r" for="ch" forName="text_7" refType="w"/>
                <dgm:constr type="w" for="ch" forName="text_7" refType="h" refFor="ch" refForName="text_7" op="gte"/>
                <dgm:constr type="h" for="ch" forName="text_7" refType="h" refFor="ch" refForName="accent_7" fact="0.8"/>
                <dgm:constr type="ctrY" for="ch" forName="text_7" refType="ctrY" refFor="ch" refForName="accent_7"/>
                <dgm:constr type="lMarg" for="ch" forName="text_7" refType="w" refFor="ch" refForName="accent_7" fact="1.8"/>
                <dgm:constr type="primFontSz" for="ch" ptType="node" op="equ" val="65"/>
              </dgm:constrLst>
            </dgm:else>
          </dgm:choose>
        </dgm:if>
        <dgm:else name="Name12">
          <dgm:choose name="Name13">
            <dgm:if name="Name14" axis="ch" ptType="node" func="cnt" op="equ" val="1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625"/>
                <dgm:constr type="w" for="ch" forName="accent_1" refType="h" refFor="ch" refForName="accent_1" op="equ"/>
                <dgm:constr type="ctrY" for="ch" forName="accent_1" refType="h" fact="0.5"/>
                <dgm:constr type="ctrX" for="ch" forName="accent_1" refType="w"/>
                <dgm:constr type="ctrXOff" for="ch" forName="accent_1" refType="h" fact="-0.2253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primFontSz" for="ch" ptType="node" op="equ" val="65"/>
              </dgm:constrLst>
            </dgm:if>
            <dgm:if name="Name15" axis="ch" ptType="node" func="cnt" op="equ" val="2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3571"/>
                <dgm:constr type="w" for="ch" forName="accent_1" refType="h" refFor="ch" refForName="accent_1" op="equ"/>
                <dgm:constr type="ctrY" for="ch" forName="accent_1" refType="h" fact="0.2857"/>
                <dgm:constr type="ctrX" for="ch" forName="accent_1" refType="w"/>
                <dgm:constr type="ctrXOff" for="ch" forName="accent_1" refType="h" fact="-0.1891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3571"/>
                <dgm:constr type="w" for="ch" forName="accent_2" refType="h" refFor="ch" refForName="accent_2" op="equ"/>
                <dgm:constr type="ctrY" for="ch" forName="accent_2" refType="h" fact="0.7143"/>
                <dgm:constr type="ctrX" for="ch" forName="accent_2" refType="w"/>
                <dgm:constr type="ctrXOff" for="ch" forName="accent_2" refType="h" fact="-0.1891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primFontSz" for="ch" ptType="node" op="equ" val="65"/>
              </dgm:constrLst>
            </dgm:if>
            <dgm:if name="Name16" axis="ch" ptType="node" func="cnt" op="equ" val="3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25"/>
                <dgm:constr type="w" for="ch" forName="accent_1" refType="h" refFor="ch" refForName="accent_1" op="equ"/>
                <dgm:constr type="ctrY" for="ch" forName="accent_1" refType="h" fact="0.2"/>
                <dgm:constr type="ctrX" for="ch" forName="accent_1" refType="w"/>
                <dgm:constr type="ctrXOff" for="ch" forName="accent_1" refType="h" fact="-0.1526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25"/>
                <dgm:constr type="w" for="ch" forName="accent_2" refType="h" refFor="ch" refForName="accent_2" op="equ"/>
                <dgm:constr type="ctrY" for="ch" forName="accent_2" refType="h" fact="0.5"/>
                <dgm:constr type="ctrX" for="ch" forName="accent_2" refType="w"/>
                <dgm:constr type="ctrXOff" for="ch" forName="accent_2" refType="h" fact="-0.2253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25"/>
                <dgm:constr type="w" for="ch" forName="accent_3" refType="h" refFor="ch" refForName="accent_3" op="equ"/>
                <dgm:constr type="ctrY" for="ch" forName="accent_3" refType="h" fact="0.8"/>
                <dgm:constr type="ctrX" for="ch" forName="accent_3" refType="w"/>
                <dgm:constr type="ctrXOff" for="ch" forName="accent_3" refType="h" fact="-0.1526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primFontSz" for="ch" ptType="node" op="equ" val="65"/>
              </dgm:constrLst>
            </dgm:if>
            <dgm:if name="Name17" axis="ch" ptType="node" func="cnt" op="equ" val="4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923"/>
                <dgm:constr type="w" for="ch" forName="accent_1" refType="h" refFor="ch" refForName="accent_1" op="equ"/>
                <dgm:constr type="ctrY" for="ch" forName="accent_1" refType="h" fact="0.1538"/>
                <dgm:constr type="ctrX" for="ch" forName="accent_1" refType="w"/>
                <dgm:constr type="ctrXOff" for="ch" forName="accent_1" refType="h" fact="-0.1268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923"/>
                <dgm:constr type="w" for="ch" forName="accent_2" refType="h" refFor="ch" refForName="accent_2" op="equ"/>
                <dgm:constr type="ctrY" for="ch" forName="accent_2" refType="h" fact="0.3846"/>
                <dgm:constr type="ctrX" for="ch" forName="accent_2" refType="w"/>
                <dgm:constr type="ctrXOff" for="ch" forName="accent_2" refType="h" fact="-0.215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923"/>
                <dgm:constr type="w" for="ch" forName="accent_3" refType="h" refFor="ch" refForName="accent_3" op="equ"/>
                <dgm:constr type="ctrY" for="ch" forName="accent_3" refType="h" fact="0.6154"/>
                <dgm:constr type="ctrX" for="ch" forName="accent_3" refType="w"/>
                <dgm:constr type="ctrXOff" for="ch" forName="accent_3" refType="h" fact="-0.215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923"/>
                <dgm:constr type="w" for="ch" forName="accent_4" refType="h" refFor="ch" refForName="accent_4" op="equ"/>
                <dgm:constr type="ctrY" for="ch" forName="accent_4" refType="h" fact="0.8462"/>
                <dgm:constr type="ctrX" for="ch" forName="accent_4" refType="w"/>
                <dgm:constr type="ctrXOff" for="ch" forName="accent_4" refType="h" fact="-0.1268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primFontSz" for="ch" ptType="node" op="equ" val="65"/>
              </dgm:constrLst>
            </dgm:if>
            <dgm:if name="Name18" axis="ch" ptType="node" func="cnt" op="equ" val="5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563"/>
                <dgm:constr type="w" for="ch" forName="accent_1" refType="h" refFor="ch" refForName="accent_1" op="equ"/>
                <dgm:constr type="ctrY" for="ch" forName="accent_1" refType="h" fact="0.125"/>
                <dgm:constr type="ctrX" for="ch" forName="accent_1" refType="w"/>
                <dgm:constr type="ctrXOff" for="ch" forName="accent_1" refType="h" fact="-0.1082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563"/>
                <dgm:constr type="w" for="ch" forName="accent_2" refType="h" refFor="ch" refForName="accent_2" op="equ"/>
                <dgm:constr type="ctrY" for="ch" forName="accent_2" refType="h" fact="0.3125"/>
                <dgm:constr type="ctrX" for="ch" forName="accent_2" refType="w"/>
                <dgm:constr type="ctrXOff" for="ch" forName="accent_2" refType="h" fact="-0.1978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563"/>
                <dgm:constr type="w" for="ch" forName="accent_3" refType="h" refFor="ch" refForName="accent_3" op="equ"/>
                <dgm:constr type="ctrY" for="ch" forName="accent_3" refType="h" fact="0.5"/>
                <dgm:constr type="ctrX" for="ch" forName="accent_3" refType="w"/>
                <dgm:constr type="ctrXOff" for="ch" forName="accent_3" refType="h" fact="-0.2253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563"/>
                <dgm:constr type="w" for="ch" forName="accent_4" refType="h" refFor="ch" refForName="accent_4" op="equ"/>
                <dgm:constr type="ctrY" for="ch" forName="accent_4" refType="h" fact="0.6875"/>
                <dgm:constr type="ctrX" for="ch" forName="accent_4" refType="w"/>
                <dgm:constr type="ctrXOff" for="ch" forName="accent_4" refType="h" fact="-0.1978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563"/>
                <dgm:constr type="w" for="ch" forName="accent_5" refType="h" refFor="ch" refForName="accent_5" op="equ"/>
                <dgm:constr type="ctrY" for="ch" forName="accent_5" refType="h" fact="0.875"/>
                <dgm:constr type="ctrX" for="ch" forName="accent_5" refType="w"/>
                <dgm:constr type="ctrXOff" for="ch" forName="accent_5" refType="h" fact="-0.1082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primFontSz" for="ch" ptType="node" op="equ" val="65"/>
              </dgm:constrLst>
            </dgm:if>
            <dgm:if name="Name19" axis="ch" ptType="node" func="cnt" op="equ" val="6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316"/>
                <dgm:constr type="w" for="ch" forName="accent_1" refType="h" refFor="ch" refForName="accent_1" op="equ"/>
                <dgm:constr type="ctrY" for="ch" forName="accent_1" refType="h" fact="0.1053"/>
                <dgm:constr type="ctrX" for="ch" forName="accent_1" refType="w"/>
                <dgm:constr type="ctrXOff" for="ch" forName="accent_1" refType="h" fact="-0.0943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316"/>
                <dgm:constr type="w" for="ch" forName="accent_2" refType="h" refFor="ch" refForName="accent_2" op="equ"/>
                <dgm:constr type="ctrY" for="ch" forName="accent_2" refType="h" fact="0.2632"/>
                <dgm:constr type="ctrX" for="ch" forName="accent_2" refType="w"/>
                <dgm:constr type="ctrXOff" for="ch" forName="accent_2" refType="h" fact="-0.1809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316"/>
                <dgm:constr type="w" for="ch" forName="accent_3" refType="h" refFor="ch" refForName="accent_3" op="equ"/>
                <dgm:constr type="ctrY" for="ch" forName="accent_3" refType="h" fact="0.4211"/>
                <dgm:constr type="ctrX" for="ch" forName="accent_3" refType="w"/>
                <dgm:constr type="ctrXOff" for="ch" forName="accent_3" refType="h" fact="-0.2205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316"/>
                <dgm:constr type="w" for="ch" forName="accent_4" refType="h" refFor="ch" refForName="accent_4" op="equ"/>
                <dgm:constr type="ctrY" for="ch" forName="accent_4" refType="h" fact="0.5789"/>
                <dgm:constr type="ctrX" for="ch" forName="accent_4" refType="w"/>
                <dgm:constr type="ctrXOff" for="ch" forName="accent_4" refType="h" fact="-0.2205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316"/>
                <dgm:constr type="w" for="ch" forName="accent_5" refType="h" refFor="ch" refForName="accent_5" op="equ"/>
                <dgm:constr type="ctrY" for="ch" forName="accent_5" refType="h" fact="0.7368"/>
                <dgm:constr type="ctrX" for="ch" forName="accent_5" refType="w"/>
                <dgm:constr type="ctrXOff" for="ch" forName="accent_5" refType="h" fact="-0.1809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h" for="ch" forName="accent_6" refType="h" fact="0.1316"/>
                <dgm:constr type="w" for="ch" forName="accent_6" refType="h" refFor="ch" refForName="accent_6" op="equ"/>
                <dgm:constr type="ctrY" for="ch" forName="accent_6" refType="h" fact="0.8947"/>
                <dgm:constr type="ctrX" for="ch" forName="accent_6" refType="w"/>
                <dgm:constr type="ctrXOff" for="ch" forName="accent_6" refType="h" fact="-0.0943"/>
                <dgm:constr type="r" for="ch" forName="text_6" refType="ctrX" refFor="ch" refForName="accent_6"/>
                <dgm:constr type="rOff" for="ch" forName="text_6" refType="ctrXOff" refFor="ch" refForName="accent_6"/>
                <dgm:constr type="l" for="ch" forName="text_6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rMarg" for="ch" forName="text_6" refType="w" refFor="ch" refForName="accent_6" fact="1.8"/>
                <dgm:constr type="primFontSz" for="ch" ptType="node" op="equ" val="65"/>
              </dgm:constrLst>
            </dgm:if>
            <dgm:else name="Name20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136"/>
                <dgm:constr type="w" for="ch" forName="accent_1" refType="h" refFor="ch" refForName="accent_1" op="equ"/>
                <dgm:constr type="ctrY" for="ch" forName="accent_1" refType="h" fact="0.0909"/>
                <dgm:constr type="ctrX" for="ch" forName="accent_1" refType="w"/>
                <dgm:constr type="ctrXOff" for="ch" forName="accent_1" refType="h" fact="-0.0835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136"/>
                <dgm:constr type="w" for="ch" forName="accent_2" refType="h" refFor="ch" refForName="accent_2" op="equ"/>
                <dgm:constr type="ctrY" for="ch" forName="accent_2" refType="h" fact="0.2273"/>
                <dgm:constr type="ctrX" for="ch" forName="accent_2" refType="w"/>
                <dgm:constr type="ctrXOff" for="ch" forName="accent_2" refType="h" fact="-0.1658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136"/>
                <dgm:constr type="w" for="ch" forName="accent_3" refType="h" refFor="ch" refForName="accent_3" op="equ"/>
                <dgm:constr type="ctrY" for="ch" forName="accent_3" refType="h" fact="0.3636"/>
                <dgm:constr type="ctrX" for="ch" forName="accent_3" refType="w"/>
                <dgm:constr type="ctrXOff" for="ch" forName="accent_3" refType="h" fact="-0.2109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136"/>
                <dgm:constr type="w" for="ch" forName="accent_4" refType="h" refFor="ch" refForName="accent_4" op="equ"/>
                <dgm:constr type="ctrY" for="ch" forName="accent_4" refType="h" fact="0.5"/>
                <dgm:constr type="ctrX" for="ch" forName="accent_4" refType="w"/>
                <dgm:constr type="ctrXOff" for="ch" forName="accent_4" refType="h" fact="-0.2253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136"/>
                <dgm:constr type="w" for="ch" forName="accent_5" refType="h" refFor="ch" refForName="accent_5" op="equ"/>
                <dgm:constr type="ctrY" for="ch" forName="accent_5" refType="h" fact="0.6364"/>
                <dgm:constr type="ctrX" for="ch" forName="accent_5" refType="w"/>
                <dgm:constr type="ctrXOff" for="ch" forName="accent_5" refType="h" fact="-0.2109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h" for="ch" forName="accent_6" refType="h" fact="0.1136"/>
                <dgm:constr type="w" for="ch" forName="accent_6" refType="h" refFor="ch" refForName="accent_6" op="equ"/>
                <dgm:constr type="ctrY" for="ch" forName="accent_6" refType="h" fact="0.7727"/>
                <dgm:constr type="ctrX" for="ch" forName="accent_6" refType="w"/>
                <dgm:constr type="ctrXOff" for="ch" forName="accent_6" refType="h" fact="-0.1658"/>
                <dgm:constr type="r" for="ch" forName="text_6" refType="ctrX" refFor="ch" refForName="accent_6"/>
                <dgm:constr type="rOff" for="ch" forName="text_6" refType="ctrXOff" refFor="ch" refForName="accent_6"/>
                <dgm:constr type="l" for="ch" forName="text_6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rMarg" for="ch" forName="text_6" refType="w" refFor="ch" refForName="accent_6" fact="1.8"/>
                <dgm:constr type="h" for="ch" forName="accent_7" refType="h" fact="0.1136"/>
                <dgm:constr type="w" for="ch" forName="accent_7" refType="h" refFor="ch" refForName="accent_7" op="equ"/>
                <dgm:constr type="ctrY" for="ch" forName="accent_7" refType="h" fact="0.9091"/>
                <dgm:constr type="ctrX" for="ch" forName="accent_7" refType="w"/>
                <dgm:constr type="ctrXOff" for="ch" forName="accent_7" refType="h" fact="-0.0835"/>
                <dgm:constr type="r" for="ch" forName="text_7" refType="ctrX" refFor="ch" refForName="accent_7"/>
                <dgm:constr type="rOff" for="ch" forName="text_7" refType="ctrXOff" refFor="ch" refForName="accent_7"/>
                <dgm:constr type="l" for="ch" forName="text_7"/>
                <dgm:constr type="w" for="ch" forName="text_7" refType="h" refFor="ch" refForName="text_7" op="gte"/>
                <dgm:constr type="h" for="ch" forName="text_7" refType="h" refFor="ch" refForName="accent_7" fact="0.8"/>
                <dgm:constr type="ctrY" for="ch" forName="text_7" refType="ctrY" refFor="ch" refForName="accent_7"/>
                <dgm:constr type="rMarg" for="ch" forName="text_7" refType="w" refFor="ch" refForName="accent_7" fact="1.8"/>
                <dgm:constr type="primFontSz" for="ch" ptType="node" op="equ" val="65"/>
              </dgm:constrLst>
            </dgm:else>
          </dgm:choose>
        </dgm:else>
      </dgm:choose>
      <dgm:layoutNode name="cycle">
        <dgm:choose name="Name21">
          <dgm:if name="Name22" func="var" arg="dir" op="equ" val="norm">
            <dgm:alg type="cycle">
              <dgm:param type="stAng" val="45"/>
              <dgm:param type="spanAng" val="90"/>
            </dgm:alg>
          </dgm:if>
          <dgm:else name="Name23">
            <dgm:alg type="cycle">
              <dgm:param type="stAng" val="225"/>
              <dgm:param type="spanAng" val="90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val="1"/>
          <dgm:constr type="h" for="ch" val="1"/>
          <dgm:constr type="diam" for="ch" forName="conn" refType="diam"/>
        </dgm:constrLst>
        <dgm:layoutNode name="srcNode">
          <dgm:alg type="sp"/>
          <dgm:shape xmlns:r="http://schemas.openxmlformats.org/officeDocument/2006/relationships" type="rect" r:blip="" hideGeom="1">
            <dgm:adjLst/>
          </dgm:shape>
          <dgm:presOf/>
        </dgm:layoutNode>
        <dgm:layoutNode name="conn" styleLbl="parChTrans1D2">
          <dgm:alg type="conn">
            <dgm:param type="connRout" val="curve"/>
            <dgm:param type="srcNode" val="srcNode"/>
            <dgm:param type="dstNode" val="dstNode"/>
            <dgm:param type="begPts" val="ctr"/>
            <dgm:param type="endPts" val="ctr"/>
            <dgm:param type="endSty" val="noArr"/>
          </dgm:alg>
          <dgm:shape xmlns:r="http://schemas.openxmlformats.org/officeDocument/2006/relationships" type="conn" r:blip="">
            <dgm:adjLst/>
          </dgm:shape>
          <dgm:presOf axis="desOrSelf" ptType="sibTrans" hideLastTrans="0" st="0" cnt="1"/>
          <dgm:constrLst>
            <dgm:constr type="begPad"/>
            <dgm:constr type="endPad"/>
          </dgm:constrLst>
        </dgm:layoutNode>
        <dgm:layoutNode name="extraNode">
          <dgm:alg type="sp"/>
          <dgm:shape xmlns:r="http://schemas.openxmlformats.org/officeDocument/2006/relationships" type="rect" r:blip="" hideGeom="1">
            <dgm:adjLst/>
          </dgm:shape>
          <dgm:presOf/>
        </dgm:layoutNode>
        <dgm:layoutNode name="dstNode">
          <dgm:alg type="sp"/>
          <dgm:shape xmlns:r="http://schemas.openxmlformats.org/officeDocument/2006/relationships" type="rect" r:blip="" hideGeom="1">
            <dgm:adjLst/>
          </dgm:shape>
          <dgm:presOf/>
        </dgm:layoutNode>
      </dgm:layoutNode>
      <dgm:forEach name="wrapper" axis="self" ptType="parTrans">
        <dgm:forEach name="wrapper2" axis="self" ptType="sibTrans" st="2">
          <dgm:forEach name="accentRepeat" axis="self">
            <dgm:layoutNode name="accentRepeatNode" styleLbl="solidFgAcc1">
              <dgm:alg type="sp"/>
              <dgm:shape xmlns:r="http://schemas.openxmlformats.org/officeDocument/2006/relationships" type="ellipse" r:blip="">
                <dgm:adjLst/>
              </dgm:shape>
              <dgm:presOf/>
            </dgm:layoutNode>
          </dgm:forEach>
        </dgm:forEach>
      </dgm:forEach>
      <dgm:forEach name="Name24" axis="ch" ptType="node" cnt="1">
        <dgm:layoutNode name="text_1" styleLbl="node1">
          <dgm:varLst>
            <dgm:bulletEnabled val="1"/>
          </dgm:varLst>
          <dgm:choose name="Name25">
            <dgm:if name="Name2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2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1">
          <dgm:alg type="sp"/>
          <dgm:shape xmlns:r="http://schemas.openxmlformats.org/officeDocument/2006/relationships" r:blip="">
            <dgm:adjLst/>
          </dgm:shape>
          <dgm:presOf/>
          <dgm:constrLst/>
          <dgm:forEach name="Name28" ref="accentRepeat"/>
        </dgm:layoutNode>
      </dgm:forEach>
      <dgm:forEach name="Name29" axis="ch" ptType="node" st="2" cnt="1">
        <dgm:layoutNode name="text_2" styleLbl="node1">
          <dgm:varLst>
            <dgm:bulletEnabled val="1"/>
          </dgm:varLst>
          <dgm:choose name="Name30">
            <dgm:if name="Name3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3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2">
          <dgm:alg type="sp"/>
          <dgm:shape xmlns:r="http://schemas.openxmlformats.org/officeDocument/2006/relationships" r:blip="">
            <dgm:adjLst/>
          </dgm:shape>
          <dgm:presOf/>
          <dgm:constrLst/>
          <dgm:forEach name="Name33" ref="accentRepeat"/>
        </dgm:layoutNode>
      </dgm:forEach>
      <dgm:forEach name="Name34" axis="ch" ptType="node" st="3" cnt="1">
        <dgm:layoutNode name="text_3" styleLbl="node1">
          <dgm:varLst>
            <dgm:bulletEnabled val="1"/>
          </dgm:varLst>
          <dgm:choose name="Name35">
            <dgm:if name="Name3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3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3">
          <dgm:alg type="sp"/>
          <dgm:shape xmlns:r="http://schemas.openxmlformats.org/officeDocument/2006/relationships" r:blip="">
            <dgm:adjLst/>
          </dgm:shape>
          <dgm:presOf/>
          <dgm:constrLst/>
          <dgm:forEach name="Name38" ref="accentRepeat"/>
        </dgm:layoutNode>
      </dgm:forEach>
      <dgm:forEach name="Name39" axis="ch" ptType="node" st="4" cnt="1">
        <dgm:layoutNode name="text_4" styleLbl="node1">
          <dgm:varLst>
            <dgm:bulletEnabled val="1"/>
          </dgm:varLst>
          <dgm:choose name="Name40">
            <dgm:if name="Name4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4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4">
          <dgm:alg type="sp"/>
          <dgm:shape xmlns:r="http://schemas.openxmlformats.org/officeDocument/2006/relationships" r:blip="">
            <dgm:adjLst/>
          </dgm:shape>
          <dgm:presOf/>
          <dgm:constrLst/>
          <dgm:forEach name="Name43" ref="accentRepeat"/>
        </dgm:layoutNode>
      </dgm:forEach>
      <dgm:forEach name="Name44" axis="ch" ptType="node" st="5" cnt="1">
        <dgm:layoutNode name="text_5" styleLbl="node1">
          <dgm:varLst>
            <dgm:bulletEnabled val="1"/>
          </dgm:varLst>
          <dgm:choose name="Name45">
            <dgm:if name="Name4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4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5">
          <dgm:alg type="sp"/>
          <dgm:shape xmlns:r="http://schemas.openxmlformats.org/officeDocument/2006/relationships" r:blip="">
            <dgm:adjLst/>
          </dgm:shape>
          <dgm:presOf/>
          <dgm:constrLst/>
          <dgm:forEach name="Name48" ref="accentRepeat"/>
        </dgm:layoutNode>
      </dgm:forEach>
      <dgm:forEach name="Name49" axis="ch" ptType="node" st="6" cnt="1">
        <dgm:layoutNode name="text_6" styleLbl="node1">
          <dgm:varLst>
            <dgm:bulletEnabled val="1"/>
          </dgm:varLst>
          <dgm:choose name="Name50">
            <dgm:if name="Name5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5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6">
          <dgm:alg type="sp"/>
          <dgm:shape xmlns:r="http://schemas.openxmlformats.org/officeDocument/2006/relationships" r:blip="">
            <dgm:adjLst/>
          </dgm:shape>
          <dgm:presOf/>
          <dgm:constrLst/>
          <dgm:forEach name="Name53" ref="accentRepeat"/>
        </dgm:layoutNode>
      </dgm:forEach>
      <dgm:forEach name="Name54" axis="ch" ptType="node" st="7" cnt="1">
        <dgm:layoutNode name="text_7" styleLbl="node1">
          <dgm:varLst>
            <dgm:bulletEnabled val="1"/>
          </dgm:varLst>
          <dgm:choose name="Name55">
            <dgm:if name="Name5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5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7">
          <dgm:alg type="sp"/>
          <dgm:shape xmlns:r="http://schemas.openxmlformats.org/officeDocument/2006/relationships" r:blip="">
            <dgm:adjLst/>
          </dgm:shape>
          <dgm:presOf/>
          <dgm:constrLst/>
          <dgm:forEach name="Name58" ref="accentRepeat"/>
        </dgm:layoutNod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diagramColors" Target="../diagrams/colors1.xml"/><Relationship Id="rId5" Type="http://schemas.openxmlformats.org/officeDocument/2006/relationships/diagramQuickStyle" Target="../diagrams/quickStyle1.xml"/><Relationship Id="rId4" Type="http://schemas.openxmlformats.org/officeDocument/2006/relationships/diagramLayout" Target="../diagrams/layout1.xml"/><Relationship Id="rId9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447675</xdr:colOff>
      <xdr:row>3</xdr:row>
      <xdr:rowOff>247650</xdr:rowOff>
    </xdr:to>
    <xdr:pic>
      <xdr:nvPicPr>
        <xdr:cNvPr id="2" name="Picture 0" descr="35ecdc31-bd61-47bf-b952-36adc7d4384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572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1218151</xdr:colOff>
      <xdr:row>29</xdr:row>
      <xdr:rowOff>120762</xdr:rowOff>
    </xdr:from>
    <xdr:to>
      <xdr:col>10</xdr:col>
      <xdr:colOff>1374321</xdr:colOff>
      <xdr:row>47</xdr:row>
      <xdr:rowOff>107699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1401536</xdr:colOff>
      <xdr:row>29</xdr:row>
      <xdr:rowOff>119063</xdr:rowOff>
    </xdr:from>
    <xdr:to>
      <xdr:col>14</xdr:col>
      <xdr:colOff>653144</xdr:colOff>
      <xdr:row>47</xdr:row>
      <xdr:rowOff>106000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145873</xdr:colOff>
      <xdr:row>3</xdr:row>
      <xdr:rowOff>150459</xdr:rowOff>
    </xdr:from>
    <xdr:to>
      <xdr:col>14</xdr:col>
      <xdr:colOff>421821</xdr:colOff>
      <xdr:row>24</xdr:row>
      <xdr:rowOff>95250</xdr:rowOff>
    </xdr:to>
    <xdr:graphicFrame macro="">
      <xdr:nvGraphicFramePr>
        <xdr:cNvPr id="8" name="Diagram 7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xdr:twoCellAnchor>
    <xdr:from>
      <xdr:col>3</xdr:col>
      <xdr:colOff>1335513</xdr:colOff>
      <xdr:row>29</xdr:row>
      <xdr:rowOff>123961</xdr:rowOff>
    </xdr:from>
    <xdr:to>
      <xdr:col>7</xdr:col>
      <xdr:colOff>1178215</xdr:colOff>
      <xdr:row>47</xdr:row>
      <xdr:rowOff>110898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47626</xdr:colOff>
      <xdr:row>29</xdr:row>
      <xdr:rowOff>129267</xdr:rowOff>
    </xdr:from>
    <xdr:to>
      <xdr:col>3</xdr:col>
      <xdr:colOff>1291863</xdr:colOff>
      <xdr:row>47</xdr:row>
      <xdr:rowOff>116204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9525</xdr:rowOff>
        </xdr:from>
        <xdr:to>
          <xdr:col>5</xdr:col>
          <xdr:colOff>314325</xdr:colOff>
          <xdr:row>4</xdr:row>
          <xdr:rowOff>95250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s.accenture.com/Users/aritra.a.chatterjee/Desktop/Incident_Audi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 Upgrade Downgrade All Teams"/>
      <sheetName val="Inc Upgrade Downgrade GP"/>
      <sheetName val="Inc Upgrade Downgrade Acc"/>
      <sheetName val="Cleanup Instructions"/>
    </sheetNames>
    <sheetDataSet>
      <sheetData sheetId="0"/>
      <sheetData sheetId="1">
        <row r="4">
          <cell r="C4" t="str">
            <v>Report Date:</v>
          </cell>
        </row>
      </sheetData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atterjee, Aritra A." refreshedDate="42444.208895370371" createdVersion="5" refreshedVersion="5" minRefreshableVersion="3" recordCount="128">
  <cacheSource type="worksheet">
    <worksheetSource ref="A1:G1048576" sheet="Observation"/>
  </cacheSource>
  <cacheFields count="7">
    <cacheField name="Incident" numFmtId="0">
      <sharedItems containsBlank="1"/>
    </cacheField>
    <cacheField name="Assignee" numFmtId="0">
      <sharedItems containsBlank="1"/>
    </cacheField>
    <cacheField name="Assigned Team" numFmtId="0">
      <sharedItems containsBlank="1" count="10">
        <s v="Unix Server Support"/>
        <s v="Wintel Server Support"/>
        <s v="Network Device Support"/>
        <s v="Enterprise Messaging"/>
        <s v="Service Desk"/>
        <s v="Monitoring"/>
        <s v="Storage &amp; BackUp"/>
        <s v="Information Security Support"/>
        <s v="Database Administration Server"/>
        <m/>
      </sharedItems>
    </cacheField>
    <cacheField name="Observation" numFmtId="0">
      <sharedItems containsBlank="1"/>
    </cacheField>
    <cacheField name="Met" numFmtId="0">
      <sharedItems containsBlank="1"/>
    </cacheField>
    <cacheField name="Not Met" numFmtId="0">
      <sharedItems containsBlank="1"/>
    </cacheField>
    <cacheField name="Total Number of Incidents Audit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8">
  <r>
    <s v="IM274483"/>
    <s v="Rakesh Tiwari"/>
    <x v="0"/>
    <s v="NA"/>
    <s v="Yes"/>
    <m/>
    <m/>
  </r>
  <r>
    <s v="IM274517"/>
    <s v="Rakesh Tiwari"/>
    <x v="0"/>
    <s v="NA"/>
    <s v="Yes"/>
    <m/>
    <m/>
  </r>
  <r>
    <s v="IM274525"/>
    <s v="Rakesh Tiwari"/>
    <x v="0"/>
    <s v="NA"/>
    <s v="Yes"/>
    <m/>
    <m/>
  </r>
  <r>
    <s v="IM274634"/>
    <s v="Rakesh Tiwari"/>
    <x v="0"/>
    <s v="NA"/>
    <s v="Yes"/>
    <m/>
    <m/>
  </r>
  <r>
    <s v="IM274654"/>
    <s v="Uday Chandraraju Gudapati"/>
    <x v="0"/>
    <s v="NA"/>
    <s v="Yes"/>
    <m/>
    <m/>
  </r>
  <r>
    <s v="IM274885"/>
    <s v="Kinker Mondal"/>
    <x v="0"/>
    <s v="&quot; Checking the services and connectivity &quot; is not a valid reason to put the ticket on hold. ticket was downgraded to P3 from P2 before ECR and no reason was mentioned."/>
    <m/>
    <s v="Yes"/>
    <m/>
  </r>
  <r>
    <s v="IM274889"/>
    <s v="Rakesh Tiwari"/>
    <x v="0"/>
    <s v="&quot;Working on the issue&quot;  is not an appropriate statement to put the ticket in STOP mode."/>
    <m/>
    <s v="Yes"/>
    <m/>
  </r>
  <r>
    <s v="IM275193"/>
    <s v="Vijay Kumar"/>
    <x v="0"/>
    <s v="NA"/>
    <s v="Yes"/>
    <m/>
    <m/>
  </r>
  <r>
    <s v="IM275214"/>
    <s v="Vijay Kumar"/>
    <x v="0"/>
    <s v="NA"/>
    <s v="Yes"/>
    <m/>
    <m/>
  </r>
  <r>
    <s v="IM275220"/>
    <s v="Vijay Kumar"/>
    <x v="0"/>
    <s v="NA"/>
    <s v="Yes"/>
    <m/>
    <m/>
  </r>
  <r>
    <s v="IM275428"/>
    <s v="Vijay Kumar"/>
    <x v="0"/>
    <s v="NA"/>
    <s v="Yes"/>
    <m/>
    <m/>
  </r>
  <r>
    <s v="IM275451"/>
    <s v="Vijay Kumar"/>
    <x v="0"/>
    <s v="NA"/>
    <s v="Yes"/>
    <m/>
    <m/>
  </r>
  <r>
    <s v="IM275492"/>
    <s v="Kunal Borkar"/>
    <x v="0"/>
    <s v="Please mention a valid reason while changing the priority"/>
    <m/>
    <s v="Yes"/>
    <m/>
  </r>
  <r>
    <s v="IM275681"/>
    <s v="Rakesh Tiwari"/>
    <x v="0"/>
    <s v="NA"/>
    <s v="Yes"/>
    <m/>
    <m/>
  </r>
  <r>
    <s v="IM275740"/>
    <s v="Kunal Borkar"/>
    <x v="0"/>
    <s v="Please mention a valid reason while downgrading an incident"/>
    <m/>
    <s v="Yes"/>
    <m/>
  </r>
  <r>
    <s v="IM276077"/>
    <s v="Sumana Halder"/>
    <x v="0"/>
    <s v="Please mention a valid reason while putting the ticket on hold"/>
    <m/>
    <s v="Yes"/>
    <m/>
  </r>
  <r>
    <s v="IM276324"/>
    <s v="Sumana Halder"/>
    <x v="0"/>
    <s v="Please provide the justification whiel changing the priority of the ticket."/>
    <m/>
    <s v="Yes"/>
    <m/>
  </r>
  <r>
    <s v="IM276508"/>
    <s v="Sumana Halder"/>
    <x v="0"/>
    <s v="Please provide the justification while changing the priority of theticket."/>
    <m/>
    <s v="Yes"/>
    <m/>
  </r>
  <r>
    <s v="IM276707"/>
    <s v="Jeet Das"/>
    <x v="0"/>
    <s v="Please provide justification while changing the priority of the ticket."/>
    <m/>
    <s v="Yes"/>
    <m/>
  </r>
  <r>
    <s v="IM276716"/>
    <s v="Jeet Das"/>
    <x v="0"/>
    <s v="Please provide justification while changing the priority of the ticket."/>
    <m/>
    <s v="Yes"/>
    <m/>
  </r>
  <r>
    <s v="IM277105"/>
    <s v="Rakesh Tiwari"/>
    <x v="0"/>
    <s v="&quot;Oracle Process is consuming more cpu&quot; is not a valid statement to put the ticket opn hold. Please provide justification while changing the priority of the ticket."/>
    <m/>
    <s v="Yes"/>
    <m/>
  </r>
  <r>
    <s v="IM277121"/>
    <s v="Subramanian Sastha"/>
    <x v="0"/>
    <s v="Currently we are working with citrix team is not proper resolution notes and thus not correct resolution category."/>
    <m/>
    <s v="Yes"/>
    <m/>
  </r>
  <r>
    <s v="IM277191"/>
    <s v="Vijay Kumar"/>
    <x v="0"/>
    <s v="Please provide justification while degrading the priority of the ticket."/>
    <m/>
    <s v="Yes"/>
    <m/>
  </r>
  <r>
    <s v="IM277342"/>
    <s v="Md sanowar sah"/>
    <x v="0"/>
    <s v="Please provide the justification while changing the priority of the ticket."/>
    <m/>
    <s v="Yes"/>
    <m/>
  </r>
  <r>
    <s v="IM277368"/>
    <s v="Rakesh Tiwari"/>
    <x v="0"/>
    <s v="NA"/>
    <s v="Yes"/>
    <m/>
    <m/>
  </r>
  <r>
    <s v="IM277375"/>
    <s v="Jeet Das"/>
    <x v="0"/>
    <s v="Please provide justification while changing the priority of the ticket."/>
    <m/>
    <s v="Yes"/>
    <m/>
  </r>
  <r>
    <s v="IM277782"/>
    <s v="Rana Rakshit"/>
    <x v="0"/>
    <s v="Please mention a valid reason while changing the priority"/>
    <m/>
    <s v="Yes"/>
    <m/>
  </r>
  <r>
    <s v="IM277939"/>
    <s v="Uday Gudapati"/>
    <x v="0"/>
    <s v="Please mention a valid reason while changing the priority; &quot;Password Reset&quot; is the appropriate code while resolving such incident where user's password was reset"/>
    <m/>
    <s v="Yes"/>
    <m/>
  </r>
  <r>
    <s v="IM277975"/>
    <s v="Jeet Das"/>
    <x v="0"/>
    <s v="Please mention a valid reason while changing the priority"/>
    <m/>
    <s v="Yes"/>
    <m/>
  </r>
  <r>
    <s v="IM278111"/>
    <s v="Kinker Mondal"/>
    <x v="0"/>
    <s v="Please mention a valid reason while changing the priority; if the incident occurred due to a change in progress, appropriate resolved code would be &quot;Self Corrected&quot; because we are not making any &quot;change&quot; to fix the issue"/>
    <m/>
    <s v="Yes"/>
    <m/>
  </r>
  <r>
    <s v="IM278154"/>
    <s v="Kunal Borkar"/>
    <x v="0"/>
    <s v="Please mention a valid reason while changing the priority"/>
    <m/>
    <s v="Yes"/>
    <m/>
  </r>
  <r>
    <s v="IM278881"/>
    <s v="Kunal Borkar"/>
    <x v="0"/>
    <s v="Please mention a valid reason while changing the priority"/>
    <m/>
    <s v="Yes"/>
    <m/>
  </r>
  <r>
    <s v="IM278944"/>
    <s v="Vijay Kumar"/>
    <x v="0"/>
    <s v="&quot;we are checking&quot; is not a valid reason to put the ticket on hold"/>
    <m/>
    <s v="Yes"/>
    <m/>
  </r>
  <r>
    <s v="IM278972"/>
    <s v="Jeet Das"/>
    <x v="0"/>
    <s v="Please mention a valid reason while changing the priority"/>
    <m/>
    <s v="Yes"/>
    <m/>
  </r>
  <r>
    <s v="IM278985"/>
    <s v="Jeet Das"/>
    <x v="0"/>
    <s v="Please mention a valid reason while changing the priority"/>
    <m/>
    <s v="Yes"/>
    <m/>
  </r>
  <r>
    <s v="IM279008"/>
    <s v="Jeet Das"/>
    <x v="0"/>
    <s v="Please provide justification while changing the priority of the ticket."/>
    <m/>
    <s v="Yes"/>
    <m/>
  </r>
  <r>
    <s v="IM279407"/>
    <s v="Jeet Das"/>
    <x v="0"/>
    <s v="Please provide the valid justification while changing the priority of the ticket."/>
    <m/>
    <s v="Yes"/>
    <m/>
  </r>
  <r>
    <s v="IM279408"/>
    <s v="Jeet Das"/>
    <x v="0"/>
    <s v="Please provide justification while chanign the priority of the ticket."/>
    <m/>
    <s v="Yes"/>
    <m/>
  </r>
  <r>
    <s v="IM279410"/>
    <s v="Jeet Das"/>
    <x v="0"/>
    <s v="Please provide justificaiton while changing the priority of the ticket."/>
    <m/>
    <s v="Yes"/>
    <m/>
  </r>
  <r>
    <s v="IM279514"/>
    <s v="Sumana Halder"/>
    <x v="0"/>
    <s v="NA"/>
    <s v="Yes"/>
    <m/>
    <m/>
  </r>
  <r>
    <s v="IM279731"/>
    <s v="Rakesh Tiwari"/>
    <x v="0"/>
    <s v="Please provide the justification while changing the priority of the ticket."/>
    <m/>
    <s v="Yes"/>
    <m/>
  </r>
  <r>
    <s v="IM279914"/>
    <s v="Kunal Borkar"/>
    <x v="0"/>
    <s v="NA"/>
    <s v="Yes"/>
    <m/>
    <m/>
  </r>
  <r>
    <s v="IM280065"/>
    <s v="Sumana Halder"/>
    <x v="0"/>
    <s v="Pleae provide the justification while changing the priority of tthe ticket"/>
    <m/>
    <s v="Yes"/>
    <m/>
  </r>
  <r>
    <s v="IM280120"/>
    <s v="Jeet Das"/>
    <x v="0"/>
    <s v="Please provide justification while changing the priority of thet icket."/>
    <m/>
    <s v="Yes"/>
    <m/>
  </r>
  <r>
    <s v="IM280122"/>
    <s v="Jeet Das"/>
    <x v="0"/>
    <s v="Please provide jsutification while changing the priority of the ticket."/>
    <m/>
    <s v="Yes"/>
    <m/>
  </r>
  <r>
    <s v="IM280273"/>
    <s v="Rakesh Tiwari"/>
    <x v="0"/>
    <s v="NA"/>
    <s v="Yes"/>
    <m/>
    <m/>
  </r>
  <r>
    <s v="IM280308"/>
    <s v="Vijay Kumar"/>
    <x v="0"/>
    <s v="NA"/>
    <s v="Yes"/>
    <m/>
    <m/>
  </r>
  <r>
    <s v="IM280362"/>
    <s v="Rana Rakshit"/>
    <x v="0"/>
    <s v="Please provide the justification while changing the priority of the ticket."/>
    <m/>
    <s v="Yes"/>
    <m/>
  </r>
  <r>
    <s v="IM280455"/>
    <s v="Rana Rakshit"/>
    <x v="0"/>
    <s v="Please provide justification while changing the priority of the ticket."/>
    <m/>
    <s v="Yes"/>
    <m/>
  </r>
  <r>
    <s v="IM280541"/>
    <s v="Rakesh Tiwari"/>
    <x v="0"/>
    <s v="NA"/>
    <s v="Yes"/>
    <m/>
    <m/>
  </r>
  <r>
    <s v="IM280659"/>
    <s v="Rakesh Tiwari"/>
    <x v="0"/>
    <s v="NA"/>
    <s v="Yes"/>
    <m/>
    <m/>
  </r>
  <r>
    <s v="IM280788"/>
    <s v="Kinkar Mondal"/>
    <x v="0"/>
    <s v="Please provide justification while changing the priority of the ticket."/>
    <m/>
    <s v="Yes"/>
    <m/>
  </r>
  <r>
    <s v="IM281984"/>
    <s v="Vijay Kumar"/>
    <x v="0"/>
    <s v="NA"/>
    <s v="Yes"/>
    <m/>
    <m/>
  </r>
  <r>
    <s v="IM273880"/>
    <s v="Ameya Sirishkumar Deshpande"/>
    <x v="1"/>
    <s v="Please update the ticket with justification while degrading the priority of the ticket"/>
    <m/>
    <s v="Yes"/>
    <m/>
  </r>
  <r>
    <s v="IM274833"/>
    <s v="Subhadeep Barik"/>
    <x v="1"/>
    <s v="NA"/>
    <s v="Yes"/>
    <m/>
    <m/>
  </r>
  <r>
    <s v="IM275124"/>
    <s v="Rajnish Kumar"/>
    <x v="1"/>
    <s v="Please mention the appropriate resolution category, in this case it should have been Resolved by change. Please mention the reason while downgrading the priority of the ticket."/>
    <m/>
    <s v="Yes"/>
    <m/>
  </r>
  <r>
    <s v="IM273884"/>
    <s v="Manoj Goswami"/>
    <x v="1"/>
    <s v="&quot;Working on it&quot; is not a vlaid statemetn to put the ticket on hold status.Please mention reason while downgrading the priority of the ticket."/>
    <m/>
    <s v="Yes"/>
    <m/>
  </r>
  <r>
    <s v="IM273951"/>
    <s v="Amit Mitra"/>
    <x v="1"/>
    <s v="Please select the appropriate category for resolution. In this case it should have been Resolved by change."/>
    <m/>
    <s v="Yes"/>
    <m/>
  </r>
  <r>
    <s v="IM274129"/>
    <s v="Manoj Goswami"/>
    <x v="1"/>
    <s v="Please provide the justification while degrading the priority of the ticket."/>
    <m/>
    <s v="Yes"/>
    <m/>
  </r>
  <r>
    <s v="IM275145"/>
    <s v="Subhadeep Barik"/>
    <x v="1"/>
    <s v="Please provide valid reason while degrading the priority of the ticket."/>
    <m/>
    <s v="Yes"/>
    <m/>
  </r>
  <r>
    <s v="IM275163"/>
    <s v="Sudipta Laha"/>
    <x v="1"/>
    <s v="Please mention a valid reason while changing the priority"/>
    <m/>
    <s v="Yes"/>
    <m/>
  </r>
  <r>
    <s v="IM275164"/>
    <s v="Ameya Deshpande"/>
    <x v="1"/>
    <s v="Please mention the reason while changing the priority"/>
    <m/>
    <s v="Yes"/>
    <m/>
  </r>
  <r>
    <s v="IM275259"/>
    <s v="Abhijit Dutta"/>
    <x v="1"/>
    <s v="Please mention a vaild reason while changing the priority; No work was done on the ticket for more than a week"/>
    <m/>
    <s v="Yes"/>
    <m/>
  </r>
  <r>
    <s v="IM276322"/>
    <s v="Abhijit Dutta"/>
    <x v="1"/>
    <s v="Please provide the justificationw hile changing the priority of the ticket."/>
    <m/>
    <s v="Yes"/>
    <m/>
  </r>
  <r>
    <s v="IM276466"/>
    <s v="Kaushik Paul"/>
    <x v="1"/>
    <s v="NA"/>
    <s v="Yes"/>
    <m/>
    <m/>
  </r>
  <r>
    <s v="IM277781"/>
    <s v="Abhijit Dutta"/>
    <x v="1"/>
    <s v="NA"/>
    <s v="Yes"/>
    <m/>
    <m/>
  </r>
  <r>
    <s v="IM278627"/>
    <s v="Titly Chatterjee"/>
    <x v="1"/>
    <s v="NA"/>
    <s v="Yes"/>
    <m/>
    <m/>
  </r>
  <r>
    <s v="IM278963"/>
    <s v="Rajnish Kumar"/>
    <x v="1"/>
    <s v="NA"/>
    <s v="Yes"/>
    <m/>
    <m/>
  </r>
  <r>
    <s v="IM279154"/>
    <s v="Rajnish Kumar"/>
    <x v="1"/>
    <s v="NA"/>
    <s v="Yes"/>
    <m/>
    <m/>
  </r>
  <r>
    <s v="IM279178"/>
    <s v="Rajnish Kumar"/>
    <x v="1"/>
    <s v="&quot;We are investigating the issue&quot; is not a valid reason to put the ticket on hold status."/>
    <m/>
    <s v="Yes"/>
    <m/>
  </r>
  <r>
    <s v="IM279904"/>
    <s v="Ameya Sirishkumar Deshpande"/>
    <x v="1"/>
    <s v="NA"/>
    <s v="Yes"/>
    <m/>
    <m/>
  </r>
  <r>
    <s v="IM280045"/>
    <s v="Sudipta Laha"/>
    <x v="1"/>
    <s v="Please provide the justification while changing the priority oft the ticket."/>
    <m/>
    <s v="Yes"/>
    <m/>
  </r>
  <r>
    <s v="IM281922"/>
    <s v="Titly Chatterjee"/>
    <x v="1"/>
    <s v="Pleae provide justification while changing the priority of the ticket."/>
    <m/>
    <s v="Yes"/>
    <m/>
  </r>
  <r>
    <s v="IM282009"/>
    <s v="Manoj Goswami"/>
    <x v="1"/>
    <s v="NA"/>
    <s v="Yes"/>
    <m/>
    <m/>
  </r>
  <r>
    <s v="IM282204"/>
    <s v="Amit Mitra"/>
    <x v="1"/>
    <s v="NA"/>
    <s v="Yes"/>
    <m/>
    <m/>
  </r>
  <r>
    <s v="IM274271"/>
    <s v="Sasadhar Roy"/>
    <x v="2"/>
    <s v="NA"/>
    <s v="Yes"/>
    <m/>
    <m/>
  </r>
  <r>
    <s v="IM274501"/>
    <s v="Piyush Dwivedi"/>
    <x v="2"/>
    <s v="NA"/>
    <s v="Yes"/>
    <m/>
    <m/>
  </r>
  <r>
    <s v="IM275011"/>
    <s v="Sourav Sen"/>
    <x v="2"/>
    <s v="NA"/>
    <s v="Yes"/>
    <m/>
    <m/>
  </r>
  <r>
    <s v="IM275078"/>
    <s v="Manash Nandi"/>
    <x v="2"/>
    <s v="NA"/>
    <s v="Yes"/>
    <m/>
    <m/>
  </r>
  <r>
    <s v="IM275817"/>
    <s v="Sujay Dey"/>
    <x v="2"/>
    <s v="NA"/>
    <s v="Yes"/>
    <m/>
    <m/>
  </r>
  <r>
    <s v="IM277176"/>
    <s v="Devendra kumar Yadav"/>
    <x v="2"/>
    <s v="NA"/>
    <s v="Yes"/>
    <m/>
    <m/>
  </r>
  <r>
    <s v="IM277484"/>
    <s v="Manash Nandi"/>
    <x v="2"/>
    <s v="NA"/>
    <s v="Yes"/>
    <m/>
    <m/>
  </r>
  <r>
    <s v="IM277921"/>
    <s v="Sujay Dey"/>
    <x v="2"/>
    <s v="Please mention a valid reason while changing the priority"/>
    <m/>
    <s v="Yes"/>
    <m/>
  </r>
  <r>
    <s v="IM277925"/>
    <s v="Sasadhar Roy"/>
    <x v="2"/>
    <s v="NA"/>
    <s v="Yes"/>
    <m/>
    <m/>
  </r>
  <r>
    <s v="IM278207"/>
    <s v="Pradip Sarkar"/>
    <x v="2"/>
    <s v="Please mention a valid reason while changing the priority"/>
    <m/>
    <s v="Yes"/>
    <m/>
  </r>
  <r>
    <s v="IM278648"/>
    <s v="Mani Barathi"/>
    <x v="2"/>
    <s v="NA"/>
    <s v="Yes"/>
    <m/>
    <m/>
  </r>
  <r>
    <s v="IM278649"/>
    <s v="Sasadhar Roy"/>
    <x v="2"/>
    <s v="NA"/>
    <s v="Yes"/>
    <m/>
    <m/>
  </r>
  <r>
    <s v="IM278885"/>
    <s v="Piyush Dwivedi"/>
    <x v="2"/>
    <s v="NA"/>
    <s v="Yes"/>
    <m/>
    <m/>
  </r>
  <r>
    <s v="IM279249"/>
    <s v="Manash Nandi"/>
    <x v="2"/>
    <s v="NA"/>
    <s v="Yes"/>
    <m/>
    <m/>
  </r>
  <r>
    <s v="IM279573"/>
    <s v="Shikarjit Das"/>
    <x v="2"/>
    <s v="NA"/>
    <s v="Yes"/>
    <m/>
    <m/>
  </r>
  <r>
    <s v="IM279978"/>
    <s v="Sasadhar Roy"/>
    <x v="2"/>
    <s v="NA"/>
    <s v="Yes"/>
    <m/>
    <m/>
  </r>
  <r>
    <s v="IM280075"/>
    <s v="Sandip Kumar Mondal"/>
    <x v="2"/>
    <s v="NA"/>
    <s v="Yes"/>
    <m/>
    <m/>
  </r>
  <r>
    <s v="IM280316"/>
    <s v="Piyush Dwivedi"/>
    <x v="2"/>
    <s v="NA"/>
    <s v="Yes"/>
    <m/>
    <m/>
  </r>
  <r>
    <s v="IM280650"/>
    <s v="Sandip Kumar Mondal"/>
    <x v="2"/>
    <s v="NA"/>
    <s v="Yes"/>
    <m/>
    <m/>
  </r>
  <r>
    <s v="IM280820"/>
    <s v="NisheethKumar Khemka"/>
    <x v="2"/>
    <s v="NA"/>
    <s v="Yes"/>
    <m/>
    <m/>
  </r>
  <r>
    <s v="IM280824"/>
    <s v="Piyush Dwivedi"/>
    <x v="2"/>
    <s v="NA"/>
    <s v="Yes"/>
    <m/>
    <m/>
  </r>
  <r>
    <s v="IM282055"/>
    <s v="Sourav Sen"/>
    <x v="2"/>
    <s v="NA"/>
    <s v="Yes"/>
    <m/>
    <m/>
  </r>
  <r>
    <s v="IM276180"/>
    <s v="Sumit Roy"/>
    <x v="3"/>
    <s v="NA"/>
    <s v="Yes"/>
    <m/>
    <m/>
  </r>
  <r>
    <s v="IM276204"/>
    <s v="Anindya Banerjee"/>
    <x v="3"/>
    <s v="Please provide the justification while changing the priority of the ticket."/>
    <m/>
    <s v="Yes"/>
    <m/>
  </r>
  <r>
    <s v="IM276314"/>
    <s v="Abhijeeta Kar"/>
    <x v="3"/>
    <s v="NA"/>
    <s v="Yes"/>
    <m/>
    <m/>
  </r>
  <r>
    <s v="IM276936"/>
    <s v="Abhijeeta Kar"/>
    <x v="3"/>
    <s v="NA"/>
    <s v="Yes"/>
    <m/>
    <m/>
  </r>
  <r>
    <s v="IM277184"/>
    <s v="Abhijita Kar"/>
    <x v="3"/>
    <s v="NA"/>
    <s v="Yes"/>
    <m/>
    <m/>
  </r>
  <r>
    <s v="IM277370"/>
    <s v="Abhijeeta Kar"/>
    <x v="3"/>
    <s v="NA"/>
    <s v="Yes"/>
    <m/>
    <m/>
  </r>
  <r>
    <s v="IM278861"/>
    <s v="Abhijeeta Kar"/>
    <x v="3"/>
    <s v="NA"/>
    <s v="Yes"/>
    <m/>
    <m/>
  </r>
  <r>
    <s v="IM279187"/>
    <s v="Anindya Kumar Banerjee"/>
    <x v="3"/>
    <s v="NA"/>
    <s v="Yes"/>
    <m/>
    <m/>
  </r>
  <r>
    <s v="IM277074"/>
    <s v="Ashmita Ghosh"/>
    <x v="4"/>
    <s v="please provide justification while changing the priority of the ticket."/>
    <m/>
    <s v="Yes"/>
    <m/>
  </r>
  <r>
    <s v="IM278059"/>
    <s v="Pradeep Ghosh"/>
    <x v="4"/>
    <s v="Please mention a valid reason while changing the priority"/>
    <m/>
    <s v="Yes"/>
    <m/>
  </r>
  <r>
    <s v="IM278942"/>
    <s v="Ruby Raj"/>
    <x v="4"/>
    <s v="Please mention a valid reason while changing the priority; A duplicate ticket exists for this ticket as mentioned in the notes, hence the Resolve Code is &quot;Duplicate Ticket&quot;"/>
    <m/>
    <s v="Yes"/>
    <m/>
  </r>
  <r>
    <m/>
    <m/>
    <x v="5"/>
    <m/>
    <m/>
    <m/>
    <m/>
  </r>
  <r>
    <s v="IM275989"/>
    <s v="Srinivasa Reddy"/>
    <x v="6"/>
    <s v="&quot;we are working&quot; is not a valid statement to put the ticket on hold; Please mention a valid reason while changing the priority"/>
    <m/>
    <s v="Yes"/>
    <m/>
  </r>
  <r>
    <s v="IM280347"/>
    <s v="Srinivasa Reddy"/>
    <x v="6"/>
    <s v="NA"/>
    <s v="Yes"/>
    <m/>
    <m/>
  </r>
  <r>
    <m/>
    <m/>
    <x v="7"/>
    <m/>
    <m/>
    <m/>
    <m/>
  </r>
  <r>
    <s v="IM274646"/>
    <s v="Sourav Ganguly"/>
    <x v="8"/>
    <s v="NA"/>
    <s v="Yes"/>
    <m/>
    <m/>
  </r>
  <r>
    <s v="IM275794"/>
    <s v="Madhusmita Mohanty"/>
    <x v="8"/>
    <s v="NA"/>
    <s v="Yes"/>
    <m/>
    <m/>
  </r>
  <r>
    <s v="IM277265"/>
    <s v="Devlin Karan"/>
    <x v="8"/>
    <s v="NA"/>
    <s v="Yes"/>
    <m/>
    <m/>
  </r>
  <r>
    <s v="IM278870"/>
    <s v="Samarpit Tripathi"/>
    <x v="8"/>
    <s v="NA"/>
    <s v="Yes"/>
    <m/>
    <m/>
  </r>
  <r>
    <s v="IM278950"/>
    <s v="Arindam Ghosh"/>
    <x v="8"/>
    <s v="NA"/>
    <s v="Yes"/>
    <m/>
    <m/>
  </r>
  <r>
    <s v="IM278966"/>
    <s v="Sourav Ganguly"/>
    <x v="8"/>
    <s v="NA"/>
    <s v="Yes"/>
    <m/>
    <m/>
  </r>
  <r>
    <s v="IM279533"/>
    <s v="Shesadev Biswal"/>
    <x v="8"/>
    <s v="NA"/>
    <s v="Yes"/>
    <m/>
    <m/>
  </r>
  <r>
    <s v="IM281967"/>
    <s v="Devlin Karan"/>
    <x v="8"/>
    <s v="NA"/>
    <s v="Yes"/>
    <m/>
    <m/>
  </r>
  <r>
    <m/>
    <m/>
    <x v="9"/>
    <m/>
    <m/>
    <m/>
    <m/>
  </r>
  <r>
    <m/>
    <m/>
    <x v="9"/>
    <m/>
    <m/>
    <m/>
    <m/>
  </r>
  <r>
    <m/>
    <m/>
    <x v="9"/>
    <m/>
    <m/>
    <m/>
    <m/>
  </r>
  <r>
    <m/>
    <m/>
    <x v="9"/>
    <m/>
    <m/>
    <m/>
    <m/>
  </r>
  <r>
    <m/>
    <m/>
    <x v="9"/>
    <m/>
    <m/>
    <m/>
    <m/>
  </r>
  <r>
    <m/>
    <m/>
    <x v="9"/>
    <m/>
    <m/>
    <m/>
    <m/>
  </r>
  <r>
    <m/>
    <m/>
    <x v="9"/>
    <m/>
    <m/>
    <m/>
    <m/>
  </r>
  <r>
    <m/>
    <m/>
    <x v="9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56" rowHeaderCaption="Team Name" fieldListSortAscending="1">
  <location ref="B5:D15" firstHeaderRow="0" firstDataRow="1" firstDataCol="1"/>
  <pivotFields count="7">
    <pivotField showAll="0"/>
    <pivotField showAll="0"/>
    <pivotField axis="axisRow" multipleItemSelectionAllowed="1" showAll="0" sortType="ascending">
      <items count="11">
        <item x="8"/>
        <item x="3"/>
        <item x="7"/>
        <item x="5"/>
        <item x="2"/>
        <item x="4"/>
        <item x="6"/>
        <item x="0"/>
        <item x="1"/>
        <item h="1" x="9"/>
        <item t="default"/>
      </items>
    </pivotField>
    <pivotField showAll="0"/>
    <pivotField dataField="1" showAll="0" defaultSubtotal="0"/>
    <pivotField dataField="1" showAll="0" defaultSubtotal="0"/>
    <pivotField showAll="0" defaultSubtota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Met " fld="4" subtotal="count" baseField="0" baseItem="0"/>
    <dataField name="Not Met " fld="5" subtotal="count" baseField="0" baseItem="0"/>
  </dataFields>
  <formats count="42">
    <format dxfId="41">
      <pivotArea field="2" type="button" dataOnly="0" labelOnly="1" outline="0" axis="axisRow" fieldPosition="0"/>
    </format>
    <format dxfId="40">
      <pivotArea dataOnly="0" labelOnly="1" fieldPosition="0">
        <references count="1">
          <reference field="2" count="0"/>
        </references>
      </pivotArea>
    </format>
    <format dxfId="39">
      <pivotArea collapsedLevelsAreSubtotals="1" fieldPosition="0">
        <references count="2">
          <reference field="4294967294" count="1" selected="0">
            <x v="0"/>
          </reference>
          <reference field="2" count="0"/>
        </references>
      </pivotArea>
    </format>
    <format dxfId="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1"/>
          </reference>
          <reference field="2" count="0"/>
        </references>
      </pivotArea>
    </format>
    <format dxfId="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">
      <pivotArea collapsedLevelsAreSubtotals="1" fieldPosition="0">
        <references count="1">
          <reference field="2" count="0"/>
        </references>
      </pivotArea>
    </format>
    <format dxfId="34">
      <pivotArea field="2" type="button" dataOnly="0" labelOnly="1" outline="0" axis="axisRow" fieldPosition="0"/>
    </format>
    <format dxfId="33">
      <pivotArea dataOnly="0" labelOnly="1" fieldPosition="0">
        <references count="1">
          <reference field="2" count="0"/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grandRow="1" outline="0" collapsedLevelsAreSubtotals="1" fieldPosition="0"/>
    </format>
    <format dxfId="30">
      <pivotArea dataOnly="0" labelOnly="1" grandRow="1" outline="0" fieldPosition="0"/>
    </format>
    <format dxfId="29">
      <pivotArea field="2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grandRow="1" outline="0" collapsedLevelsAreSubtotals="1" fieldPosition="0"/>
    </format>
    <format dxfId="26">
      <pivotArea dataOnly="0" labelOnly="1" grandRow="1" outline="0" fieldPosition="0"/>
    </format>
    <format dxfId="25">
      <pivotArea collapsedLevelsAreSubtotals="1" fieldPosition="0">
        <references count="1">
          <reference field="2" count="0"/>
        </references>
      </pivotArea>
    </format>
    <format dxfId="24">
      <pivotArea dataOnly="0" labelOnly="1" fieldPosition="0">
        <references count="1">
          <reference field="2" count="0"/>
        </references>
      </pivotArea>
    </format>
    <format dxfId="23">
      <pivotArea collapsedLevelsAreSubtotals="1" fieldPosition="0">
        <references count="1">
          <reference field="2" count="0"/>
        </references>
      </pivotArea>
    </format>
    <format dxfId="22">
      <pivotArea dataOnly="0" labelOnly="1" fieldPosition="0">
        <references count="1">
          <reference field="2" count="0"/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2" type="button" dataOnly="0" labelOnly="1" outline="0" axis="axisRow" fieldPosition="0"/>
    </format>
    <format dxfId="18">
      <pivotArea dataOnly="0" labelOnly="1" fieldPosition="0">
        <references count="1">
          <reference field="2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field="2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">
      <pivotArea grandRow="1" outline="0" collapsedLevelsAreSubtotals="1" fieldPosition="0"/>
    </format>
    <format dxfId="12">
      <pivotArea dataOnly="0" labelOnly="1" grandRow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2" type="button" dataOnly="0" labelOnly="1" outline="0" axis="axisRow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type="all" dataOnly="0" outline="0" fieldPosition="0"/>
    </format>
    <format dxfId="4">
      <pivotArea dataOnly="0" labelOnly="1" fieldPosition="0">
        <references count="1">
          <reference field="2" count="0"/>
        </references>
      </pivotArea>
    </format>
    <format dxfId="3">
      <pivotArea dataOnly="0" labelOnly="1" grandRow="1" outline="0" fieldPosition="0"/>
    </format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0">
      <pivotArea field="2" type="button" dataOnly="0" labelOnly="1" outline="0" axis="axisRow" fieldPosition="0"/>
    </format>
  </formats>
  <chartFormats count="46"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5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" format="6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5" format="6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5" format="6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5" format="6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5" format="6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5" format="6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5" format="6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5" format="6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5" format="6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5" format="7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5" format="7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55" format="72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55" format="73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55" format="74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55" format="75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55" format="76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55" format="77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55" format="78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55" format="79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56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6" format="8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6" format="8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6" format="8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6" format="8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6" format="8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6" format="8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6" format="8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6" format="8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6" format="8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6" format="9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6" format="9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56" format="92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56" format="93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56" format="94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56" format="95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56" format="96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56" format="97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56" format="98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56" format="99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Medium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79998168889431442"/>
  </sheetPr>
  <dimension ref="B1:B34"/>
  <sheetViews>
    <sheetView topLeftCell="A4" workbookViewId="0">
      <selection activeCell="B26" sqref="B26"/>
    </sheetView>
  </sheetViews>
  <sheetFormatPr defaultRowHeight="12.75" x14ac:dyDescent="0.2"/>
  <cols>
    <col min="2" max="2" width="81" bestFit="1" customWidth="1"/>
    <col min="3" max="3" width="9.140625" customWidth="1"/>
  </cols>
  <sheetData>
    <row r="1" spans="2:2" ht="15" x14ac:dyDescent="0.25">
      <c r="B1" s="10" t="s">
        <v>38</v>
      </c>
    </row>
    <row r="2" spans="2:2" x14ac:dyDescent="0.2">
      <c r="B2" s="3" t="s">
        <v>15</v>
      </c>
    </row>
    <row r="3" spans="2:2" x14ac:dyDescent="0.2">
      <c r="B3" t="s">
        <v>16</v>
      </c>
    </row>
    <row r="4" spans="2:2" x14ac:dyDescent="0.2">
      <c r="B4" t="s">
        <v>17</v>
      </c>
    </row>
    <row r="6" spans="2:2" x14ac:dyDescent="0.2">
      <c r="B6" s="3" t="s">
        <v>18</v>
      </c>
    </row>
    <row r="7" spans="2:2" x14ac:dyDescent="0.2">
      <c r="B7" t="s">
        <v>19</v>
      </c>
    </row>
    <row r="9" spans="2:2" x14ac:dyDescent="0.2">
      <c r="B9" s="3" t="s">
        <v>20</v>
      </c>
    </row>
    <row r="10" spans="2:2" x14ac:dyDescent="0.2">
      <c r="B10" t="s">
        <v>21</v>
      </c>
    </row>
    <row r="12" spans="2:2" x14ac:dyDescent="0.2">
      <c r="B12" s="3" t="s">
        <v>22</v>
      </c>
    </row>
    <row r="13" spans="2:2" x14ac:dyDescent="0.2">
      <c r="B13" t="s">
        <v>23</v>
      </c>
    </row>
    <row r="15" spans="2:2" x14ac:dyDescent="0.2">
      <c r="B15" s="3" t="s">
        <v>24</v>
      </c>
    </row>
    <row r="16" spans="2:2" x14ac:dyDescent="0.2">
      <c r="B16" t="s">
        <v>25</v>
      </c>
    </row>
    <row r="18" spans="2:2" x14ac:dyDescent="0.2">
      <c r="B18" s="3" t="s">
        <v>26</v>
      </c>
    </row>
    <row r="19" spans="2:2" x14ac:dyDescent="0.2">
      <c r="B19" t="s">
        <v>27</v>
      </c>
    </row>
    <row r="21" spans="2:2" x14ac:dyDescent="0.2">
      <c r="B21" s="3" t="s">
        <v>28</v>
      </c>
    </row>
    <row r="22" spans="2:2" x14ac:dyDescent="0.2">
      <c r="B22" t="s">
        <v>29</v>
      </c>
    </row>
    <row r="24" spans="2:2" x14ac:dyDescent="0.2">
      <c r="B24" s="3" t="s">
        <v>30</v>
      </c>
    </row>
    <row r="25" spans="2:2" x14ac:dyDescent="0.2">
      <c r="B25" t="s">
        <v>31</v>
      </c>
    </row>
    <row r="27" spans="2:2" x14ac:dyDescent="0.2">
      <c r="B27" s="3" t="s">
        <v>32</v>
      </c>
    </row>
    <row r="28" spans="2:2" x14ac:dyDescent="0.2">
      <c r="B28" t="s">
        <v>33</v>
      </c>
    </row>
    <row r="30" spans="2:2" x14ac:dyDescent="0.2">
      <c r="B30" s="3" t="s">
        <v>34</v>
      </c>
    </row>
    <row r="31" spans="2:2" x14ac:dyDescent="0.2">
      <c r="B31" t="s">
        <v>35</v>
      </c>
    </row>
    <row r="33" spans="2:2" x14ac:dyDescent="0.2">
      <c r="B33" s="3" t="s">
        <v>36</v>
      </c>
    </row>
    <row r="34" spans="2:2" x14ac:dyDescent="0.2">
      <c r="B34" t="s">
        <v>37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844"/>
  <sheetViews>
    <sheetView showGridLines="0" workbookViewId="0">
      <pane ySplit="5" topLeftCell="A27" activePane="bottomLeft" state="frozenSplit"/>
      <selection pane="bottomLeft" activeCell="D42" sqref="D42"/>
    </sheetView>
  </sheetViews>
  <sheetFormatPr defaultColWidth="9.140625" defaultRowHeight="12.75" x14ac:dyDescent="0.2"/>
  <cols>
    <col min="1" max="1" width="21.5703125" style="36" customWidth="1"/>
    <col min="2" max="2" width="14.85546875" style="36" customWidth="1"/>
    <col min="3" max="3" width="23.85546875" style="36" bestFit="1" customWidth="1"/>
    <col min="4" max="4" width="13.42578125" style="36" customWidth="1"/>
    <col min="5" max="5" width="13.5703125" style="36" customWidth="1"/>
    <col min="6" max="7" width="13.7109375" style="36" customWidth="1"/>
    <col min="8" max="8" width="145" style="36" bestFit="1" customWidth="1"/>
    <col min="9" max="9" width="18.42578125" style="36" bestFit="1" customWidth="1"/>
    <col min="10" max="10" width="9.140625" style="36" customWidth="1"/>
    <col min="11" max="11" width="7.28515625" style="36" bestFit="1" customWidth="1"/>
    <col min="12" max="12" width="106.140625" style="36" bestFit="1" customWidth="1"/>
    <col min="13" max="16384" width="9.140625" style="36"/>
  </cols>
  <sheetData>
    <row r="1" spans="1:9" ht="4.1500000000000004" customHeight="1" x14ac:dyDescent="0.2">
      <c r="A1" s="135"/>
      <c r="B1" s="135"/>
    </row>
    <row r="2" spans="1:9" ht="16.899999999999999" customHeight="1" x14ac:dyDescent="0.2">
      <c r="A2" s="135"/>
      <c r="B2" s="135"/>
      <c r="E2" s="136"/>
      <c r="F2" s="135"/>
      <c r="G2" s="135"/>
      <c r="H2" s="135"/>
    </row>
    <row r="3" spans="1:9" ht="1.35" customHeight="1" x14ac:dyDescent="0.2">
      <c r="A3" s="135"/>
      <c r="B3" s="135"/>
    </row>
    <row r="4" spans="1:9" ht="20.100000000000001" customHeight="1" x14ac:dyDescent="0.2">
      <c r="A4" s="135"/>
      <c r="B4" s="135"/>
      <c r="C4" s="62" t="str">
        <f>'[1]Inc Upgrade Downgrade GP'!C4</f>
        <v>Report Date:</v>
      </c>
      <c r="D4" s="61"/>
      <c r="E4" s="61"/>
      <c r="F4" s="61"/>
      <c r="G4" s="61"/>
      <c r="H4" s="61"/>
      <c r="I4" s="61"/>
    </row>
    <row r="5" spans="1:9" ht="3.4" customHeight="1" x14ac:dyDescent="0.2"/>
    <row r="6" spans="1:9" ht="13.5" thickBot="1" x14ac:dyDescent="0.25"/>
    <row r="7" spans="1:9" x14ac:dyDescent="0.2">
      <c r="A7" s="137" t="s">
        <v>175</v>
      </c>
      <c r="B7" s="138"/>
      <c r="C7" s="138"/>
      <c r="D7" s="138"/>
      <c r="E7" s="138"/>
      <c r="F7" s="139"/>
    </row>
    <row r="8" spans="1:9" ht="25.5" x14ac:dyDescent="0.2">
      <c r="A8" s="60" t="s">
        <v>174</v>
      </c>
      <c r="B8" s="59" t="s">
        <v>173</v>
      </c>
      <c r="C8" s="59" t="s">
        <v>172</v>
      </c>
      <c r="D8" s="59" t="s">
        <v>171</v>
      </c>
      <c r="E8" s="59" t="s">
        <v>170</v>
      </c>
      <c r="F8" s="58" t="s">
        <v>169</v>
      </c>
    </row>
    <row r="9" spans="1:9" x14ac:dyDescent="0.2">
      <c r="A9" s="51">
        <v>1</v>
      </c>
      <c r="B9" s="50">
        <f>COUNTIF($E$28:$E$498,"1")</f>
        <v>1</v>
      </c>
      <c r="C9" s="50">
        <f t="array" ref="C9">SUM(IF(N:N="1",IF(N:N&lt;O:O,1,0),0))</f>
        <v>14</v>
      </c>
      <c r="D9" s="57">
        <f>C9/B9</f>
        <v>14</v>
      </c>
      <c r="E9" s="50" t="s">
        <v>79</v>
      </c>
      <c r="F9" s="49" t="s">
        <v>79</v>
      </c>
    </row>
    <row r="10" spans="1:9" x14ac:dyDescent="0.2">
      <c r="A10" s="51">
        <v>2</v>
      </c>
      <c r="B10" s="50">
        <f>COUNTIF($E$28:$E$498,"2")</f>
        <v>7</v>
      </c>
      <c r="C10" s="50">
        <f t="array" ref="C10">SUM(IF(N:N="2",IF(N:N&lt;O:O,1,0),0))</f>
        <v>60</v>
      </c>
      <c r="D10" s="57">
        <f>C10/B10</f>
        <v>8.5714285714285712</v>
      </c>
      <c r="E10" s="50">
        <f t="array" ref="E10">SUM(IF(N:N="2",IF(N:N&gt;O:O,1,0),0))</f>
        <v>1</v>
      </c>
      <c r="F10" s="56">
        <f>E10/B10</f>
        <v>0.14285714285714285</v>
      </c>
    </row>
    <row r="11" spans="1:9" x14ac:dyDescent="0.2">
      <c r="A11" s="51">
        <v>3</v>
      </c>
      <c r="B11" s="50">
        <f>COUNTIF($E$28:$E$498,"3")</f>
        <v>90</v>
      </c>
      <c r="C11" s="50">
        <f t="array" ref="C11">SUM(IF(N:N="3",IF(N:N&lt;O:O,1,0),0))</f>
        <v>0</v>
      </c>
      <c r="D11" s="57">
        <f>C11/B11</f>
        <v>0</v>
      </c>
      <c r="E11" s="50">
        <f t="array" ref="E11">SUM(IF(N:N="3",IF(N:N&gt;O:O,1,0),0))</f>
        <v>3</v>
      </c>
      <c r="F11" s="56">
        <f>E11/B11</f>
        <v>3.3333333333333333E-2</v>
      </c>
    </row>
    <row r="12" spans="1:9" x14ac:dyDescent="0.2">
      <c r="A12" s="51">
        <v>4</v>
      </c>
      <c r="B12" s="50">
        <f>COUNTIF($E$28:$E$498,"4")</f>
        <v>23</v>
      </c>
      <c r="C12" s="50" t="s">
        <v>79</v>
      </c>
      <c r="D12" s="50" t="s">
        <v>79</v>
      </c>
      <c r="E12" s="50">
        <f t="array" ref="E12">SUM(IF(N:N="4",IF(N:N&gt;O:O,1,0),0))</f>
        <v>25</v>
      </c>
      <c r="F12" s="56">
        <f>E12/B12</f>
        <v>1.0869565217391304</v>
      </c>
    </row>
    <row r="13" spans="1:9" ht="13.5" thickBot="1" x14ac:dyDescent="0.25">
      <c r="A13" s="55" t="s">
        <v>168</v>
      </c>
      <c r="B13" s="53">
        <f>SUM(B9:B12)</f>
        <v>121</v>
      </c>
      <c r="C13" s="53">
        <f>SUM(C9:C12)</f>
        <v>74</v>
      </c>
      <c r="D13" s="54">
        <f>SUM(C9:C11)/SUM(B9:B11)</f>
        <v>0.75510204081632648</v>
      </c>
      <c r="E13" s="53">
        <f>SUM(E9:E12)</f>
        <v>29</v>
      </c>
      <c r="F13" s="52">
        <f>SUM(E10:E12)/SUM(B10:B12)</f>
        <v>0.24166666666666667</v>
      </c>
    </row>
    <row r="14" spans="1:9" ht="14.45" customHeight="1" thickBot="1" x14ac:dyDescent="0.25"/>
    <row r="15" spans="1:9" ht="14.45" customHeight="1" x14ac:dyDescent="0.2">
      <c r="A15" s="137" t="s">
        <v>167</v>
      </c>
      <c r="B15" s="138"/>
      <c r="C15" s="138"/>
      <c r="D15" s="139"/>
    </row>
    <row r="16" spans="1:9" ht="14.45" customHeight="1" x14ac:dyDescent="0.2">
      <c r="A16" s="51" t="s">
        <v>166</v>
      </c>
      <c r="B16" s="50">
        <f t="array" ref="B16">SUM(IF(N:N="1",IF(N:N-O:O=-1,1,0),0))</f>
        <v>5</v>
      </c>
      <c r="C16" s="50" t="s">
        <v>165</v>
      </c>
      <c r="D16" s="49">
        <f t="array" ref="D16">SUM(IF(N:N="2",IF(N:N-O:O=-1,1,0),0))</f>
        <v>60</v>
      </c>
    </row>
    <row r="17" spans="1:17" ht="14.45" customHeight="1" x14ac:dyDescent="0.2">
      <c r="A17" s="51" t="s">
        <v>164</v>
      </c>
      <c r="B17" s="50">
        <f t="array" ref="B17">SUM(IF(N:N="1",IF(N:N-O:O=-2,1,0),0))</f>
        <v>9</v>
      </c>
      <c r="C17" s="50" t="s">
        <v>163</v>
      </c>
      <c r="D17" s="49">
        <f t="array" ref="D17">SUM(IF(N:N="2",IF(N:N-O:O=-2,1,0),0))</f>
        <v>0</v>
      </c>
    </row>
    <row r="18" spans="1:17" ht="14.45" customHeight="1" x14ac:dyDescent="0.2">
      <c r="A18" s="51" t="s">
        <v>162</v>
      </c>
      <c r="B18" s="50">
        <f t="array" ref="B18">SUM(IF(N:N="1",IF(N:N-O:O=-3,1,0),0))</f>
        <v>0</v>
      </c>
      <c r="C18" s="50"/>
      <c r="D18" s="49"/>
    </row>
    <row r="19" spans="1:17" ht="14.45" customHeight="1" thickBot="1" x14ac:dyDescent="0.25">
      <c r="A19" s="48" t="s">
        <v>161</v>
      </c>
      <c r="B19" s="47">
        <f t="array" ref="B19">SUM(IF(N:N="1",IF(N:N&lt;O:O,1,0),0))</f>
        <v>14</v>
      </c>
      <c r="C19" s="47" t="s">
        <v>160</v>
      </c>
      <c r="D19" s="46">
        <f t="array" ref="D19">SUM(IF(N:N="2",IF(N:N&lt;O:O,1,0),0))</f>
        <v>60</v>
      </c>
    </row>
    <row r="20" spans="1:17" ht="14.45" customHeight="1" thickBot="1" x14ac:dyDescent="0.25"/>
    <row r="21" spans="1:17" ht="14.45" customHeight="1" x14ac:dyDescent="0.2">
      <c r="A21" s="137" t="s">
        <v>159</v>
      </c>
      <c r="B21" s="138"/>
      <c r="C21" s="138"/>
      <c r="D21" s="139"/>
    </row>
    <row r="22" spans="1:17" ht="14.45" customHeight="1" x14ac:dyDescent="0.2">
      <c r="A22" s="51" t="s">
        <v>158</v>
      </c>
      <c r="B22" s="50">
        <f t="array" ref="B22">SUM(IF(N:N="4",IF(N:N-O:O=3,1,0),0))</f>
        <v>1</v>
      </c>
      <c r="C22" s="50" t="s">
        <v>157</v>
      </c>
      <c r="D22" s="49">
        <f t="array" ref="D22">SUM(IF(N:N="3",IF(N:N-O:O=2,1,0),0))</f>
        <v>1</v>
      </c>
    </row>
    <row r="23" spans="1:17" ht="14.45" customHeight="1" x14ac:dyDescent="0.2">
      <c r="A23" s="51" t="s">
        <v>156</v>
      </c>
      <c r="B23" s="50">
        <f t="array" ref="B23">SUM(IF(N:N="4",IF(N:N-O:O=2,1,0),0))</f>
        <v>7</v>
      </c>
      <c r="C23" s="50" t="s">
        <v>155</v>
      </c>
      <c r="D23" s="49">
        <f t="array" ref="D23">SUM(IF(N:N="3",IF(N:N-O:O=1,1,0),0))</f>
        <v>2</v>
      </c>
    </row>
    <row r="24" spans="1:17" ht="14.45" customHeight="1" x14ac:dyDescent="0.2">
      <c r="A24" s="51" t="s">
        <v>154</v>
      </c>
      <c r="B24" s="50">
        <f t="array" ref="B24">SUM(IF(N:N="4",IF(N:N-O:O=1,1,0),0))</f>
        <v>17</v>
      </c>
      <c r="C24" s="50"/>
      <c r="D24" s="49"/>
    </row>
    <row r="25" spans="1:17" ht="14.45" customHeight="1" thickBot="1" x14ac:dyDescent="0.25">
      <c r="A25" s="48" t="s">
        <v>153</v>
      </c>
      <c r="B25" s="47">
        <f t="array" ref="B25">SUM(IF(N:N="4",IF(N:N&gt;O:O,1,0),0))</f>
        <v>25</v>
      </c>
      <c r="C25" s="47" t="s">
        <v>152</v>
      </c>
      <c r="D25" s="46">
        <f t="array" ref="D25">SUM(IF(N:N="3",IF(N:N&gt;O:O,1,0),0))</f>
        <v>3</v>
      </c>
    </row>
    <row r="26" spans="1:17" ht="14.45" customHeight="1" x14ac:dyDescent="0.2"/>
    <row r="27" spans="1:17" ht="14.45" customHeight="1" x14ac:dyDescent="0.2"/>
    <row r="28" spans="1:17" ht="43.5" x14ac:dyDescent="0.25">
      <c r="A28" s="45" t="s">
        <v>151</v>
      </c>
      <c r="B28" s="45" t="s">
        <v>150</v>
      </c>
      <c r="C28" s="45" t="s">
        <v>47</v>
      </c>
      <c r="D28" s="45" t="s">
        <v>149</v>
      </c>
      <c r="E28" s="45" t="s">
        <v>148</v>
      </c>
      <c r="F28" s="45" t="s">
        <v>147</v>
      </c>
      <c r="G28" s="45" t="s">
        <v>146</v>
      </c>
      <c r="H28" s="45" t="s">
        <v>48</v>
      </c>
      <c r="I28" s="45" t="s">
        <v>145</v>
      </c>
      <c r="J28" s="45" t="s">
        <v>144</v>
      </c>
      <c r="K28" s="45" t="s">
        <v>143</v>
      </c>
      <c r="L28" s="45" t="s">
        <v>142</v>
      </c>
      <c r="N28" s="44" t="s">
        <v>141</v>
      </c>
      <c r="O28" s="44" t="s">
        <v>140</v>
      </c>
      <c r="P28" s="43" t="s">
        <v>139</v>
      </c>
      <c r="Q28" s="43" t="s">
        <v>138</v>
      </c>
    </row>
    <row r="29" spans="1:17" x14ac:dyDescent="0.2">
      <c r="A29" s="63" t="s">
        <v>188</v>
      </c>
      <c r="B29" s="66">
        <v>42370</v>
      </c>
      <c r="C29" s="63" t="s">
        <v>64</v>
      </c>
      <c r="D29" s="63" t="s">
        <v>189</v>
      </c>
      <c r="E29" s="63">
        <v>3</v>
      </c>
      <c r="F29" s="63" t="s">
        <v>77</v>
      </c>
      <c r="G29" s="63" t="s">
        <v>185</v>
      </c>
      <c r="H29" s="63" t="s">
        <v>190</v>
      </c>
      <c r="I29" s="63" t="s">
        <v>60</v>
      </c>
      <c r="J29" s="63" t="s">
        <v>57</v>
      </c>
      <c r="K29" s="63" t="s">
        <v>81</v>
      </c>
      <c r="L29" s="63" t="s">
        <v>191</v>
      </c>
      <c r="N29" s="38" t="str">
        <f t="shared" ref="N29:N92" si="0">IF(LEFT($L29,21)="Priority changed from",MID($L29,23,1),"")</f>
        <v>2</v>
      </c>
      <c r="O29" s="38" t="str">
        <f t="shared" ref="O29:O92" si="1">IF(LEFT($L29,21)="Priority changed from",MID($L29,28,1),"")</f>
        <v>3</v>
      </c>
      <c r="P29" s="37" t="str">
        <f t="shared" ref="P29:P92" si="2">IFERROR(IF(E29=1,"Yes",IF(OR(VALUE(N29)=1,VALUE(O29)=1),"Yes","No")),"")</f>
        <v>No</v>
      </c>
      <c r="Q29" s="37" t="str">
        <f t="shared" ref="Q29:Q92" si="3">IFERROR(IF(P29="Yes","No",IF(E29=2,"Yes",IF(OR(VALUE(N29)=2,VALUE(O29)=2),"Yes","No"))),"")</f>
        <v>Yes</v>
      </c>
    </row>
    <row r="30" spans="1:17" x14ac:dyDescent="0.2">
      <c r="A30" s="63" t="s">
        <v>192</v>
      </c>
      <c r="B30" s="66">
        <v>42370</v>
      </c>
      <c r="C30" s="63" t="s">
        <v>64</v>
      </c>
      <c r="D30" s="63" t="s">
        <v>189</v>
      </c>
      <c r="E30" s="63">
        <v>3</v>
      </c>
      <c r="F30" s="63" t="s">
        <v>40</v>
      </c>
      <c r="G30" s="63" t="s">
        <v>50</v>
      </c>
      <c r="H30" s="63" t="s">
        <v>193</v>
      </c>
      <c r="I30" s="63" t="s">
        <v>181</v>
      </c>
      <c r="J30" s="63" t="s">
        <v>182</v>
      </c>
      <c r="K30" s="63" t="s">
        <v>81</v>
      </c>
      <c r="L30" s="63" t="s">
        <v>118</v>
      </c>
      <c r="N30" s="38" t="str">
        <f t="shared" si="0"/>
        <v>2</v>
      </c>
      <c r="O30" s="38" t="str">
        <f t="shared" si="1"/>
        <v>3</v>
      </c>
      <c r="P30" s="37" t="str">
        <f t="shared" si="2"/>
        <v>No</v>
      </c>
      <c r="Q30" s="37" t="str">
        <f t="shared" si="3"/>
        <v>Yes</v>
      </c>
    </row>
    <row r="31" spans="1:17" x14ac:dyDescent="0.2">
      <c r="A31" s="63" t="s">
        <v>194</v>
      </c>
      <c r="B31" s="66">
        <v>42371</v>
      </c>
      <c r="C31" s="63" t="s">
        <v>64</v>
      </c>
      <c r="D31" s="63" t="s">
        <v>189</v>
      </c>
      <c r="E31" s="63">
        <v>3</v>
      </c>
      <c r="F31" s="63" t="s">
        <v>40</v>
      </c>
      <c r="G31" s="63" t="s">
        <v>130</v>
      </c>
      <c r="H31" s="63" t="s">
        <v>195</v>
      </c>
      <c r="I31" s="63" t="s">
        <v>52</v>
      </c>
      <c r="J31" s="63" t="s">
        <v>53</v>
      </c>
      <c r="K31" s="63" t="s">
        <v>81</v>
      </c>
      <c r="L31" s="63" t="s">
        <v>179</v>
      </c>
      <c r="N31" s="38" t="str">
        <f t="shared" si="0"/>
        <v>1</v>
      </c>
      <c r="O31" s="38" t="str">
        <f t="shared" si="1"/>
        <v>3</v>
      </c>
      <c r="P31" s="37" t="str">
        <f t="shared" si="2"/>
        <v>Yes</v>
      </c>
      <c r="Q31" s="37" t="str">
        <f t="shared" si="3"/>
        <v>No</v>
      </c>
    </row>
    <row r="32" spans="1:17" x14ac:dyDescent="0.2">
      <c r="A32" s="63" t="s">
        <v>196</v>
      </c>
      <c r="B32" s="66">
        <v>42371</v>
      </c>
      <c r="C32" s="63" t="s">
        <v>64</v>
      </c>
      <c r="D32" s="63" t="s">
        <v>189</v>
      </c>
      <c r="E32" s="63">
        <v>3</v>
      </c>
      <c r="F32" s="63" t="s">
        <v>40</v>
      </c>
      <c r="G32" s="63" t="s">
        <v>130</v>
      </c>
      <c r="H32" s="63" t="s">
        <v>197</v>
      </c>
      <c r="I32" s="63" t="s">
        <v>52</v>
      </c>
      <c r="J32" s="63" t="s">
        <v>53</v>
      </c>
      <c r="K32" s="63" t="s">
        <v>81</v>
      </c>
      <c r="L32" s="63" t="s">
        <v>95</v>
      </c>
      <c r="N32" s="38" t="str">
        <f t="shared" si="0"/>
        <v>2</v>
      </c>
      <c r="O32" s="38" t="str">
        <f t="shared" si="1"/>
        <v>3</v>
      </c>
      <c r="P32" s="37" t="str">
        <f t="shared" si="2"/>
        <v>No</v>
      </c>
      <c r="Q32" s="37" t="str">
        <f t="shared" si="3"/>
        <v>Yes</v>
      </c>
    </row>
    <row r="33" spans="1:17" x14ac:dyDescent="0.2">
      <c r="A33" s="63" t="s">
        <v>198</v>
      </c>
      <c r="B33" s="66">
        <v>42371</v>
      </c>
      <c r="C33" s="63" t="s">
        <v>64</v>
      </c>
      <c r="D33" s="63" t="s">
        <v>189</v>
      </c>
      <c r="E33" s="63">
        <v>4</v>
      </c>
      <c r="F33" s="63" t="s">
        <v>45</v>
      </c>
      <c r="G33" s="63" t="s">
        <v>56</v>
      </c>
      <c r="H33" s="63" t="s">
        <v>199</v>
      </c>
      <c r="I33" s="63" t="s">
        <v>60</v>
      </c>
      <c r="J33" s="63" t="s">
        <v>57</v>
      </c>
      <c r="K33" s="63" t="s">
        <v>81</v>
      </c>
      <c r="L33" s="63" t="s">
        <v>102</v>
      </c>
      <c r="N33" s="38" t="str">
        <f t="shared" si="0"/>
        <v>4</v>
      </c>
      <c r="O33" s="38" t="str">
        <f t="shared" si="1"/>
        <v>2</v>
      </c>
      <c r="P33" s="37" t="str">
        <f t="shared" si="2"/>
        <v>No</v>
      </c>
      <c r="Q33" s="37" t="str">
        <f t="shared" si="3"/>
        <v>Yes</v>
      </c>
    </row>
    <row r="34" spans="1:17" x14ac:dyDescent="0.2">
      <c r="A34" s="63" t="s">
        <v>200</v>
      </c>
      <c r="B34" s="66">
        <v>42371</v>
      </c>
      <c r="C34" s="63" t="s">
        <v>64</v>
      </c>
      <c r="D34" s="63" t="s">
        <v>189</v>
      </c>
      <c r="E34" s="63">
        <v>3</v>
      </c>
      <c r="F34" s="63" t="s">
        <v>45</v>
      </c>
      <c r="G34" s="63" t="s">
        <v>89</v>
      </c>
      <c r="H34" s="63" t="s">
        <v>86</v>
      </c>
      <c r="I34" s="63" t="s">
        <v>49</v>
      </c>
      <c r="J34" s="63" t="s">
        <v>53</v>
      </c>
      <c r="K34" s="63" t="s">
        <v>81</v>
      </c>
      <c r="L34" s="63" t="s">
        <v>100</v>
      </c>
      <c r="N34" s="38" t="str">
        <f t="shared" si="0"/>
        <v>2</v>
      </c>
      <c r="O34" s="38" t="str">
        <f t="shared" si="1"/>
        <v>3</v>
      </c>
      <c r="P34" s="37" t="str">
        <f t="shared" si="2"/>
        <v>No</v>
      </c>
      <c r="Q34" s="37" t="str">
        <f t="shared" si="3"/>
        <v>Yes</v>
      </c>
    </row>
    <row r="35" spans="1:17" x14ac:dyDescent="0.2">
      <c r="A35" s="63" t="s">
        <v>201</v>
      </c>
      <c r="B35" s="66">
        <v>42373</v>
      </c>
      <c r="C35" s="63" t="s">
        <v>64</v>
      </c>
      <c r="D35" s="63" t="s">
        <v>189</v>
      </c>
      <c r="E35" s="63">
        <v>3</v>
      </c>
      <c r="F35" s="63" t="s">
        <v>54</v>
      </c>
      <c r="G35" s="63" t="s">
        <v>63</v>
      </c>
      <c r="H35" s="63" t="s">
        <v>202</v>
      </c>
      <c r="I35" s="63" t="s">
        <v>93</v>
      </c>
      <c r="J35" s="63" t="s">
        <v>92</v>
      </c>
      <c r="K35" s="63" t="s">
        <v>81</v>
      </c>
      <c r="L35" s="63" t="s">
        <v>111</v>
      </c>
      <c r="N35" s="38" t="str">
        <f t="shared" si="0"/>
        <v>2</v>
      </c>
      <c r="O35" s="38" t="str">
        <f t="shared" si="1"/>
        <v>3</v>
      </c>
      <c r="P35" s="37" t="str">
        <f t="shared" si="2"/>
        <v>No</v>
      </c>
      <c r="Q35" s="37" t="str">
        <f t="shared" si="3"/>
        <v>Yes</v>
      </c>
    </row>
    <row r="36" spans="1:17" x14ac:dyDescent="0.2">
      <c r="A36" s="63" t="s">
        <v>203</v>
      </c>
      <c r="B36" s="66">
        <v>42374</v>
      </c>
      <c r="C36" s="63" t="s">
        <v>64</v>
      </c>
      <c r="D36" s="63" t="s">
        <v>64</v>
      </c>
      <c r="E36" s="63">
        <v>3</v>
      </c>
      <c r="F36" s="63" t="s">
        <v>40</v>
      </c>
      <c r="G36" s="63" t="s">
        <v>104</v>
      </c>
      <c r="H36" s="63" t="s">
        <v>204</v>
      </c>
      <c r="I36" s="63" t="s">
        <v>52</v>
      </c>
      <c r="J36" s="63" t="s">
        <v>44</v>
      </c>
      <c r="K36" s="63" t="s">
        <v>81</v>
      </c>
      <c r="L36" s="63" t="s">
        <v>111</v>
      </c>
      <c r="N36" s="38" t="str">
        <f t="shared" si="0"/>
        <v>2</v>
      </c>
      <c r="O36" s="38" t="str">
        <f t="shared" si="1"/>
        <v>3</v>
      </c>
      <c r="P36" s="37" t="str">
        <f t="shared" si="2"/>
        <v>No</v>
      </c>
      <c r="Q36" s="37" t="str">
        <f t="shared" si="3"/>
        <v>Yes</v>
      </c>
    </row>
    <row r="37" spans="1:17" x14ac:dyDescent="0.2">
      <c r="A37" s="63" t="s">
        <v>205</v>
      </c>
      <c r="B37" s="66">
        <v>42374</v>
      </c>
      <c r="C37" s="63" t="s">
        <v>64</v>
      </c>
      <c r="D37" s="63" t="s">
        <v>189</v>
      </c>
      <c r="E37" s="63">
        <v>3</v>
      </c>
      <c r="F37" s="63" t="s">
        <v>45</v>
      </c>
      <c r="G37" s="63" t="s">
        <v>116</v>
      </c>
      <c r="H37" s="63" t="s">
        <v>86</v>
      </c>
      <c r="I37" s="63" t="s">
        <v>49</v>
      </c>
      <c r="J37" s="63" t="s">
        <v>53</v>
      </c>
      <c r="K37" s="63" t="s">
        <v>81</v>
      </c>
      <c r="L37" s="63" t="s">
        <v>100</v>
      </c>
      <c r="N37" s="38" t="str">
        <f t="shared" si="0"/>
        <v>2</v>
      </c>
      <c r="O37" s="38" t="str">
        <f t="shared" si="1"/>
        <v>3</v>
      </c>
      <c r="P37" s="37" t="str">
        <f t="shared" si="2"/>
        <v>No</v>
      </c>
      <c r="Q37" s="37" t="str">
        <f t="shared" si="3"/>
        <v>Yes</v>
      </c>
    </row>
    <row r="38" spans="1:17" x14ac:dyDescent="0.2">
      <c r="A38" s="63" t="s">
        <v>206</v>
      </c>
      <c r="B38" s="66">
        <v>42374</v>
      </c>
      <c r="C38" s="63" t="s">
        <v>64</v>
      </c>
      <c r="D38" s="63" t="s">
        <v>64</v>
      </c>
      <c r="E38" s="63">
        <v>4</v>
      </c>
      <c r="F38" s="63" t="s">
        <v>54</v>
      </c>
      <c r="G38" s="63" t="s">
        <v>103</v>
      </c>
      <c r="H38" s="63" t="s">
        <v>207</v>
      </c>
      <c r="I38" s="63" t="s">
        <v>60</v>
      </c>
      <c r="J38" s="63" t="s">
        <v>57</v>
      </c>
      <c r="K38" s="63" t="s">
        <v>81</v>
      </c>
      <c r="L38" s="63" t="s">
        <v>102</v>
      </c>
      <c r="N38" s="38" t="str">
        <f t="shared" si="0"/>
        <v>4</v>
      </c>
      <c r="O38" s="38" t="str">
        <f t="shared" si="1"/>
        <v>2</v>
      </c>
      <c r="P38" s="37" t="str">
        <f t="shared" si="2"/>
        <v>No</v>
      </c>
      <c r="Q38" s="37" t="str">
        <f t="shared" si="3"/>
        <v>Yes</v>
      </c>
    </row>
    <row r="39" spans="1:17" x14ac:dyDescent="0.2">
      <c r="A39" s="63" t="s">
        <v>208</v>
      </c>
      <c r="B39" s="66">
        <v>42374</v>
      </c>
      <c r="C39" s="63" t="s">
        <v>64</v>
      </c>
      <c r="D39" s="63" t="s">
        <v>189</v>
      </c>
      <c r="E39" s="63">
        <v>3</v>
      </c>
      <c r="F39" s="63" t="s">
        <v>40</v>
      </c>
      <c r="G39" s="63" t="s">
        <v>41</v>
      </c>
      <c r="H39" s="63" t="s">
        <v>209</v>
      </c>
      <c r="I39" s="63" t="s">
        <v>52</v>
      </c>
      <c r="J39" s="63" t="s">
        <v>53</v>
      </c>
      <c r="K39" s="63" t="s">
        <v>81</v>
      </c>
      <c r="L39" s="63" t="s">
        <v>111</v>
      </c>
      <c r="N39" s="38" t="str">
        <f t="shared" si="0"/>
        <v>2</v>
      </c>
      <c r="O39" s="38" t="str">
        <f t="shared" si="1"/>
        <v>3</v>
      </c>
      <c r="P39" s="37" t="str">
        <f t="shared" si="2"/>
        <v>No</v>
      </c>
      <c r="Q39" s="37" t="str">
        <f t="shared" si="3"/>
        <v>Yes</v>
      </c>
    </row>
    <row r="40" spans="1:17" x14ac:dyDescent="0.2">
      <c r="A40" s="63" t="s">
        <v>210</v>
      </c>
      <c r="B40" s="66">
        <v>42375</v>
      </c>
      <c r="C40" s="63" t="s">
        <v>64</v>
      </c>
      <c r="D40" s="63" t="s">
        <v>64</v>
      </c>
      <c r="E40" s="63">
        <v>3</v>
      </c>
      <c r="F40" s="63" t="s">
        <v>40</v>
      </c>
      <c r="G40" s="63" t="s">
        <v>67</v>
      </c>
      <c r="H40" s="63" t="s">
        <v>211</v>
      </c>
      <c r="I40" s="63" t="s">
        <v>70</v>
      </c>
      <c r="J40" s="63" t="s">
        <v>131</v>
      </c>
      <c r="K40" s="63" t="s">
        <v>81</v>
      </c>
      <c r="L40" s="63" t="s">
        <v>95</v>
      </c>
      <c r="N40" s="38" t="str">
        <f t="shared" si="0"/>
        <v>2</v>
      </c>
      <c r="O40" s="38" t="str">
        <f t="shared" si="1"/>
        <v>3</v>
      </c>
      <c r="P40" s="37" t="str">
        <f t="shared" si="2"/>
        <v>No</v>
      </c>
      <c r="Q40" s="37" t="str">
        <f t="shared" si="3"/>
        <v>Yes</v>
      </c>
    </row>
    <row r="41" spans="1:17" x14ac:dyDescent="0.2">
      <c r="A41" s="63" t="s">
        <v>210</v>
      </c>
      <c r="B41" s="66">
        <v>42375</v>
      </c>
      <c r="C41" s="63" t="s">
        <v>64</v>
      </c>
      <c r="D41" s="63" t="s">
        <v>64</v>
      </c>
      <c r="E41" s="63">
        <v>3</v>
      </c>
      <c r="F41" s="63" t="s">
        <v>40</v>
      </c>
      <c r="G41" s="63" t="s">
        <v>67</v>
      </c>
      <c r="H41" s="63" t="s">
        <v>211</v>
      </c>
      <c r="I41" s="63" t="s">
        <v>70</v>
      </c>
      <c r="J41" s="63" t="s">
        <v>131</v>
      </c>
      <c r="K41" s="63" t="s">
        <v>81</v>
      </c>
      <c r="L41" s="63" t="s">
        <v>124</v>
      </c>
      <c r="N41" s="38" t="str">
        <f t="shared" si="0"/>
        <v>1</v>
      </c>
      <c r="O41" s="38" t="str">
        <f t="shared" si="1"/>
        <v>2</v>
      </c>
      <c r="P41" s="37" t="str">
        <f t="shared" si="2"/>
        <v>Yes</v>
      </c>
      <c r="Q41" s="37" t="str">
        <f t="shared" si="3"/>
        <v>No</v>
      </c>
    </row>
    <row r="42" spans="1:17" x14ac:dyDescent="0.2">
      <c r="A42" s="63" t="s">
        <v>212</v>
      </c>
      <c r="B42" s="66">
        <v>42375</v>
      </c>
      <c r="C42" s="63" t="s">
        <v>64</v>
      </c>
      <c r="D42" s="63" t="s">
        <v>64</v>
      </c>
      <c r="E42" s="63">
        <v>3</v>
      </c>
      <c r="F42" s="63" t="s">
        <v>77</v>
      </c>
      <c r="G42" s="63" t="s">
        <v>80</v>
      </c>
      <c r="H42" s="63" t="s">
        <v>213</v>
      </c>
      <c r="I42" s="63" t="s">
        <v>72</v>
      </c>
      <c r="J42" s="63" t="s">
        <v>59</v>
      </c>
      <c r="K42" s="63" t="s">
        <v>81</v>
      </c>
      <c r="L42" s="63" t="s">
        <v>214</v>
      </c>
      <c r="N42" s="38" t="str">
        <f t="shared" si="0"/>
        <v>2</v>
      </c>
      <c r="O42" s="38" t="str">
        <f t="shared" si="1"/>
        <v>3</v>
      </c>
      <c r="P42" s="37" t="str">
        <f t="shared" si="2"/>
        <v>No</v>
      </c>
      <c r="Q42" s="37" t="str">
        <f t="shared" si="3"/>
        <v>Yes</v>
      </c>
    </row>
    <row r="43" spans="1:17" x14ac:dyDescent="0.2">
      <c r="A43" s="63" t="s">
        <v>215</v>
      </c>
      <c r="B43" s="66">
        <v>42375</v>
      </c>
      <c r="C43" s="63" t="s">
        <v>64</v>
      </c>
      <c r="D43" s="63" t="s">
        <v>64</v>
      </c>
      <c r="E43" s="63">
        <v>3</v>
      </c>
      <c r="F43" s="63" t="s">
        <v>54</v>
      </c>
      <c r="G43" s="63" t="s">
        <v>103</v>
      </c>
      <c r="H43" s="63" t="s">
        <v>216</v>
      </c>
      <c r="I43" s="63" t="s">
        <v>93</v>
      </c>
      <c r="J43" s="63" t="s">
        <v>92</v>
      </c>
      <c r="K43" s="63" t="s">
        <v>81</v>
      </c>
      <c r="L43" s="63" t="s">
        <v>101</v>
      </c>
      <c r="N43" s="38" t="str">
        <f t="shared" si="0"/>
        <v>4</v>
      </c>
      <c r="O43" s="38" t="str">
        <f t="shared" si="1"/>
        <v>3</v>
      </c>
      <c r="P43" s="37" t="str">
        <f t="shared" si="2"/>
        <v>No</v>
      </c>
      <c r="Q43" s="37" t="str">
        <f t="shared" si="3"/>
        <v>No</v>
      </c>
    </row>
    <row r="44" spans="1:17" x14ac:dyDescent="0.2">
      <c r="A44" s="63" t="s">
        <v>217</v>
      </c>
      <c r="B44" s="66">
        <v>42375</v>
      </c>
      <c r="C44" s="63" t="s">
        <v>64</v>
      </c>
      <c r="D44" s="63" t="s">
        <v>64</v>
      </c>
      <c r="E44" s="63">
        <v>3</v>
      </c>
      <c r="F44" s="63" t="s">
        <v>54</v>
      </c>
      <c r="G44" s="63" t="s">
        <v>103</v>
      </c>
      <c r="H44" s="63" t="s">
        <v>218</v>
      </c>
      <c r="I44" s="63" t="s">
        <v>93</v>
      </c>
      <c r="J44" s="63" t="s">
        <v>92</v>
      </c>
      <c r="K44" s="63" t="s">
        <v>81</v>
      </c>
      <c r="L44" s="63" t="s">
        <v>101</v>
      </c>
      <c r="N44" s="38" t="str">
        <f t="shared" si="0"/>
        <v>4</v>
      </c>
      <c r="O44" s="38" t="str">
        <f t="shared" si="1"/>
        <v>3</v>
      </c>
      <c r="P44" s="37" t="str">
        <f t="shared" si="2"/>
        <v>No</v>
      </c>
      <c r="Q44" s="37" t="str">
        <f t="shared" si="3"/>
        <v>No</v>
      </c>
    </row>
    <row r="45" spans="1:17" x14ac:dyDescent="0.2">
      <c r="A45" s="63" t="s">
        <v>219</v>
      </c>
      <c r="B45" s="66">
        <v>42375</v>
      </c>
      <c r="C45" s="63" t="s">
        <v>64</v>
      </c>
      <c r="D45" s="63" t="s">
        <v>64</v>
      </c>
      <c r="E45" s="63">
        <v>3</v>
      </c>
      <c r="F45" s="63" t="s">
        <v>45</v>
      </c>
      <c r="G45" s="63" t="s">
        <v>56</v>
      </c>
      <c r="H45" s="63" t="s">
        <v>220</v>
      </c>
      <c r="I45" s="63" t="s">
        <v>72</v>
      </c>
      <c r="J45" s="63" t="s">
        <v>59</v>
      </c>
      <c r="K45" s="63" t="s">
        <v>81</v>
      </c>
      <c r="L45" s="63" t="s">
        <v>121</v>
      </c>
      <c r="N45" s="38" t="str">
        <f t="shared" si="0"/>
        <v>2</v>
      </c>
      <c r="O45" s="38" t="str">
        <f t="shared" si="1"/>
        <v>3</v>
      </c>
      <c r="P45" s="37" t="str">
        <f t="shared" si="2"/>
        <v>No</v>
      </c>
      <c r="Q45" s="37" t="str">
        <f t="shared" si="3"/>
        <v>Yes</v>
      </c>
    </row>
    <row r="46" spans="1:17" x14ac:dyDescent="0.2">
      <c r="A46" s="63" t="s">
        <v>221</v>
      </c>
      <c r="B46" s="66">
        <v>42375</v>
      </c>
      <c r="C46" s="63" t="s">
        <v>64</v>
      </c>
      <c r="D46" s="63" t="s">
        <v>64</v>
      </c>
      <c r="E46" s="63">
        <v>3</v>
      </c>
      <c r="F46" s="63" t="s">
        <v>45</v>
      </c>
      <c r="G46" s="63" t="s">
        <v>56</v>
      </c>
      <c r="H46" s="63" t="s">
        <v>86</v>
      </c>
      <c r="I46" s="63" t="s">
        <v>49</v>
      </c>
      <c r="J46" s="63" t="s">
        <v>53</v>
      </c>
      <c r="K46" s="63" t="s">
        <v>81</v>
      </c>
      <c r="L46" s="63" t="s">
        <v>118</v>
      </c>
      <c r="N46" s="38" t="str">
        <f t="shared" si="0"/>
        <v>2</v>
      </c>
      <c r="O46" s="38" t="str">
        <f t="shared" si="1"/>
        <v>3</v>
      </c>
      <c r="P46" s="37" t="str">
        <f t="shared" si="2"/>
        <v>No</v>
      </c>
      <c r="Q46" s="37" t="str">
        <f t="shared" si="3"/>
        <v>Yes</v>
      </c>
    </row>
    <row r="47" spans="1:17" x14ac:dyDescent="0.2">
      <c r="A47" s="63" t="s">
        <v>222</v>
      </c>
      <c r="B47" s="66">
        <v>42376</v>
      </c>
      <c r="C47" s="63" t="s">
        <v>64</v>
      </c>
      <c r="D47" s="63" t="s">
        <v>64</v>
      </c>
      <c r="E47" s="63">
        <v>3</v>
      </c>
      <c r="F47" s="63" t="s">
        <v>54</v>
      </c>
      <c r="G47" s="63" t="s">
        <v>84</v>
      </c>
      <c r="H47" s="63" t="s">
        <v>223</v>
      </c>
      <c r="I47" s="63" t="s">
        <v>46</v>
      </c>
      <c r="J47" s="63" t="s">
        <v>113</v>
      </c>
      <c r="K47" s="63" t="s">
        <v>81</v>
      </c>
      <c r="L47" s="63" t="s">
        <v>101</v>
      </c>
      <c r="N47" s="38" t="str">
        <f t="shared" si="0"/>
        <v>4</v>
      </c>
      <c r="O47" s="38" t="str">
        <f t="shared" si="1"/>
        <v>3</v>
      </c>
      <c r="P47" s="37" t="str">
        <f t="shared" si="2"/>
        <v>No</v>
      </c>
      <c r="Q47" s="37" t="str">
        <f t="shared" si="3"/>
        <v>No</v>
      </c>
    </row>
    <row r="48" spans="1:17" x14ac:dyDescent="0.2">
      <c r="A48" s="63" t="s">
        <v>224</v>
      </c>
      <c r="B48" s="66">
        <v>42376</v>
      </c>
      <c r="C48" s="63" t="s">
        <v>64</v>
      </c>
      <c r="D48" s="63" t="s">
        <v>64</v>
      </c>
      <c r="E48" s="63">
        <v>3</v>
      </c>
      <c r="F48" s="63" t="s">
        <v>45</v>
      </c>
      <c r="G48" s="63" t="s">
        <v>116</v>
      </c>
      <c r="H48" s="63" t="s">
        <v>225</v>
      </c>
      <c r="I48" s="63" t="s">
        <v>49</v>
      </c>
      <c r="J48" s="63" t="s">
        <v>53</v>
      </c>
      <c r="K48" s="63" t="s">
        <v>81</v>
      </c>
      <c r="L48" s="63" t="s">
        <v>100</v>
      </c>
      <c r="N48" s="38" t="str">
        <f t="shared" si="0"/>
        <v>2</v>
      </c>
      <c r="O48" s="38" t="str">
        <f t="shared" si="1"/>
        <v>3</v>
      </c>
      <c r="P48" s="37" t="str">
        <f t="shared" si="2"/>
        <v>No</v>
      </c>
      <c r="Q48" s="37" t="str">
        <f t="shared" si="3"/>
        <v>Yes</v>
      </c>
    </row>
    <row r="49" spans="1:17" x14ac:dyDescent="0.2">
      <c r="A49" s="63" t="s">
        <v>226</v>
      </c>
      <c r="B49" s="66">
        <v>42376</v>
      </c>
      <c r="C49" s="63" t="s">
        <v>64</v>
      </c>
      <c r="D49" s="63" t="s">
        <v>64</v>
      </c>
      <c r="E49" s="63">
        <v>4</v>
      </c>
      <c r="F49" s="63" t="s">
        <v>54</v>
      </c>
      <c r="G49" s="63" t="s">
        <v>55</v>
      </c>
      <c r="H49" s="63" t="s">
        <v>227</v>
      </c>
      <c r="I49" s="63" t="s">
        <v>70</v>
      </c>
      <c r="J49" s="63" t="s">
        <v>126</v>
      </c>
      <c r="K49" s="63" t="s">
        <v>81</v>
      </c>
      <c r="L49" s="63" t="s">
        <v>228</v>
      </c>
      <c r="N49" s="38" t="str">
        <f t="shared" si="0"/>
        <v>2</v>
      </c>
      <c r="O49" s="38" t="str">
        <f t="shared" si="1"/>
        <v>3</v>
      </c>
      <c r="P49" s="37" t="str">
        <f t="shared" si="2"/>
        <v>No</v>
      </c>
      <c r="Q49" s="37" t="str">
        <f t="shared" si="3"/>
        <v>Yes</v>
      </c>
    </row>
    <row r="50" spans="1:17" x14ac:dyDescent="0.2">
      <c r="A50" s="63" t="s">
        <v>229</v>
      </c>
      <c r="B50" s="66">
        <v>42376</v>
      </c>
      <c r="C50" s="63" t="s">
        <v>64</v>
      </c>
      <c r="D50" s="63" t="s">
        <v>64</v>
      </c>
      <c r="E50" s="63">
        <v>3</v>
      </c>
      <c r="F50" s="63" t="s">
        <v>45</v>
      </c>
      <c r="G50" s="63" t="s">
        <v>116</v>
      </c>
      <c r="H50" s="63" t="s">
        <v>230</v>
      </c>
      <c r="I50" s="63" t="s">
        <v>49</v>
      </c>
      <c r="J50" s="63" t="s">
        <v>53</v>
      </c>
      <c r="K50" s="63" t="s">
        <v>81</v>
      </c>
      <c r="L50" s="63" t="s">
        <v>100</v>
      </c>
      <c r="N50" s="38" t="str">
        <f t="shared" si="0"/>
        <v>2</v>
      </c>
      <c r="O50" s="38" t="str">
        <f t="shared" si="1"/>
        <v>3</v>
      </c>
      <c r="P50" s="37" t="str">
        <f t="shared" si="2"/>
        <v>No</v>
      </c>
      <c r="Q50" s="37" t="str">
        <f t="shared" si="3"/>
        <v>Yes</v>
      </c>
    </row>
    <row r="51" spans="1:17" x14ac:dyDescent="0.2">
      <c r="A51" s="63" t="s">
        <v>231</v>
      </c>
      <c r="B51" s="66">
        <v>42376</v>
      </c>
      <c r="C51" s="63" t="s">
        <v>64</v>
      </c>
      <c r="D51" s="63" t="s">
        <v>64</v>
      </c>
      <c r="E51" s="63">
        <v>3</v>
      </c>
      <c r="F51" s="63" t="s">
        <v>45</v>
      </c>
      <c r="G51" s="63" t="s">
        <v>62</v>
      </c>
      <c r="H51" s="63" t="s">
        <v>86</v>
      </c>
      <c r="I51" s="63" t="s">
        <v>49</v>
      </c>
      <c r="J51" s="63" t="s">
        <v>53</v>
      </c>
      <c r="K51" s="63" t="s">
        <v>81</v>
      </c>
      <c r="L51" s="63" t="s">
        <v>100</v>
      </c>
      <c r="N51" s="38" t="str">
        <f t="shared" si="0"/>
        <v>2</v>
      </c>
      <c r="O51" s="38" t="str">
        <f t="shared" si="1"/>
        <v>3</v>
      </c>
      <c r="P51" s="37" t="str">
        <f t="shared" si="2"/>
        <v>No</v>
      </c>
      <c r="Q51" s="37" t="str">
        <f t="shared" si="3"/>
        <v>Yes</v>
      </c>
    </row>
    <row r="52" spans="1:17" x14ac:dyDescent="0.2">
      <c r="A52" s="63" t="s">
        <v>232</v>
      </c>
      <c r="B52" s="66">
        <v>42376</v>
      </c>
      <c r="C52" s="63" t="s">
        <v>64</v>
      </c>
      <c r="D52" s="63" t="s">
        <v>64</v>
      </c>
      <c r="E52" s="63">
        <v>3</v>
      </c>
      <c r="F52" s="63" t="s">
        <v>45</v>
      </c>
      <c r="G52" s="63" t="s">
        <v>85</v>
      </c>
      <c r="H52" s="63" t="s">
        <v>86</v>
      </c>
      <c r="I52" s="63" t="s">
        <v>49</v>
      </c>
      <c r="J52" s="63" t="s">
        <v>53</v>
      </c>
      <c r="K52" s="63" t="s">
        <v>81</v>
      </c>
      <c r="L52" s="63" t="s">
        <v>100</v>
      </c>
      <c r="N52" s="38" t="str">
        <f t="shared" si="0"/>
        <v>2</v>
      </c>
      <c r="O52" s="38" t="str">
        <f t="shared" si="1"/>
        <v>3</v>
      </c>
      <c r="P52" s="37" t="str">
        <f t="shared" si="2"/>
        <v>No</v>
      </c>
      <c r="Q52" s="37" t="str">
        <f t="shared" si="3"/>
        <v>Yes</v>
      </c>
    </row>
    <row r="53" spans="1:17" x14ac:dyDescent="0.2">
      <c r="A53" s="63" t="s">
        <v>233</v>
      </c>
      <c r="B53" s="66">
        <v>42376</v>
      </c>
      <c r="C53" s="63" t="s">
        <v>64</v>
      </c>
      <c r="D53" s="63" t="s">
        <v>64</v>
      </c>
      <c r="E53" s="63">
        <v>3</v>
      </c>
      <c r="F53" s="63" t="s">
        <v>40</v>
      </c>
      <c r="G53" s="63" t="s">
        <v>104</v>
      </c>
      <c r="H53" s="63" t="s">
        <v>234</v>
      </c>
      <c r="I53" s="63" t="s">
        <v>52</v>
      </c>
      <c r="J53" s="63" t="s">
        <v>44</v>
      </c>
      <c r="K53" s="63" t="s">
        <v>81</v>
      </c>
      <c r="L53" s="63" t="s">
        <v>101</v>
      </c>
      <c r="N53" s="38" t="str">
        <f t="shared" si="0"/>
        <v>4</v>
      </c>
      <c r="O53" s="38" t="str">
        <f t="shared" si="1"/>
        <v>3</v>
      </c>
      <c r="P53" s="37" t="str">
        <f t="shared" si="2"/>
        <v>No</v>
      </c>
      <c r="Q53" s="37" t="str">
        <f t="shared" si="3"/>
        <v>No</v>
      </c>
    </row>
    <row r="54" spans="1:17" x14ac:dyDescent="0.2">
      <c r="A54" s="63" t="s">
        <v>235</v>
      </c>
      <c r="B54" s="66">
        <v>42377</v>
      </c>
      <c r="C54" s="63" t="s">
        <v>64</v>
      </c>
      <c r="D54" s="63" t="s">
        <v>64</v>
      </c>
      <c r="E54" s="63">
        <v>3</v>
      </c>
      <c r="F54" s="63" t="s">
        <v>40</v>
      </c>
      <c r="G54" s="63" t="s">
        <v>41</v>
      </c>
      <c r="H54" s="63" t="s">
        <v>236</v>
      </c>
      <c r="I54" s="63" t="s">
        <v>51</v>
      </c>
      <c r="J54" s="63" t="s">
        <v>52</v>
      </c>
      <c r="K54" s="63" t="s">
        <v>81</v>
      </c>
      <c r="L54" s="63" t="s">
        <v>111</v>
      </c>
      <c r="N54" s="38" t="str">
        <f t="shared" si="0"/>
        <v>2</v>
      </c>
      <c r="O54" s="38" t="str">
        <f t="shared" si="1"/>
        <v>3</v>
      </c>
      <c r="P54" s="37" t="str">
        <f t="shared" si="2"/>
        <v>No</v>
      </c>
      <c r="Q54" s="37" t="str">
        <f t="shared" si="3"/>
        <v>Yes</v>
      </c>
    </row>
    <row r="55" spans="1:17" x14ac:dyDescent="0.2">
      <c r="A55" s="63" t="s">
        <v>237</v>
      </c>
      <c r="B55" s="66">
        <v>42377</v>
      </c>
      <c r="C55" s="63" t="s">
        <v>64</v>
      </c>
      <c r="D55" s="63" t="s">
        <v>64</v>
      </c>
      <c r="E55" s="63">
        <v>3</v>
      </c>
      <c r="F55" s="63" t="s">
        <v>54</v>
      </c>
      <c r="G55" s="63" t="s">
        <v>109</v>
      </c>
      <c r="H55" s="63" t="s">
        <v>238</v>
      </c>
      <c r="I55" s="63" t="s">
        <v>60</v>
      </c>
      <c r="J55" s="63" t="s">
        <v>57</v>
      </c>
      <c r="K55" s="63" t="s">
        <v>81</v>
      </c>
      <c r="L55" s="63" t="s">
        <v>111</v>
      </c>
      <c r="N55" s="38" t="str">
        <f t="shared" si="0"/>
        <v>2</v>
      </c>
      <c r="O55" s="38" t="str">
        <f t="shared" si="1"/>
        <v>3</v>
      </c>
      <c r="P55" s="37" t="str">
        <f t="shared" si="2"/>
        <v>No</v>
      </c>
      <c r="Q55" s="37" t="str">
        <f t="shared" si="3"/>
        <v>Yes</v>
      </c>
    </row>
    <row r="56" spans="1:17" x14ac:dyDescent="0.2">
      <c r="A56" s="63" t="s">
        <v>239</v>
      </c>
      <c r="B56" s="66">
        <v>42377</v>
      </c>
      <c r="C56" s="63" t="s">
        <v>64</v>
      </c>
      <c r="D56" s="63" t="s">
        <v>64</v>
      </c>
      <c r="E56" s="63">
        <v>3</v>
      </c>
      <c r="F56" s="63" t="s">
        <v>45</v>
      </c>
      <c r="G56" s="63" t="s">
        <v>74</v>
      </c>
      <c r="H56" s="63" t="s">
        <v>240</v>
      </c>
      <c r="I56" s="63" t="s">
        <v>72</v>
      </c>
      <c r="J56" s="63" t="s">
        <v>59</v>
      </c>
      <c r="K56" s="63" t="s">
        <v>81</v>
      </c>
      <c r="L56" s="63" t="s">
        <v>111</v>
      </c>
      <c r="N56" s="38" t="str">
        <f t="shared" si="0"/>
        <v>2</v>
      </c>
      <c r="O56" s="38" t="str">
        <f t="shared" si="1"/>
        <v>3</v>
      </c>
      <c r="P56" s="37" t="str">
        <f t="shared" si="2"/>
        <v>No</v>
      </c>
      <c r="Q56" s="37" t="str">
        <f t="shared" si="3"/>
        <v>Yes</v>
      </c>
    </row>
    <row r="57" spans="1:17" x14ac:dyDescent="0.2">
      <c r="A57" s="63" t="s">
        <v>241</v>
      </c>
      <c r="B57" s="66">
        <v>42377</v>
      </c>
      <c r="C57" s="63" t="s">
        <v>64</v>
      </c>
      <c r="D57" s="63" t="s">
        <v>64</v>
      </c>
      <c r="E57" s="63">
        <v>3</v>
      </c>
      <c r="F57" s="63" t="s">
        <v>45</v>
      </c>
      <c r="G57" s="63" t="s">
        <v>74</v>
      </c>
      <c r="H57" s="63" t="s">
        <v>242</v>
      </c>
      <c r="I57" s="63" t="s">
        <v>72</v>
      </c>
      <c r="J57" s="63" t="s">
        <v>59</v>
      </c>
      <c r="K57" s="63" t="s">
        <v>81</v>
      </c>
      <c r="L57" s="63" t="s">
        <v>111</v>
      </c>
      <c r="N57" s="38" t="str">
        <f t="shared" si="0"/>
        <v>2</v>
      </c>
      <c r="O57" s="38" t="str">
        <f t="shared" si="1"/>
        <v>3</v>
      </c>
      <c r="P57" s="37" t="str">
        <f t="shared" si="2"/>
        <v>No</v>
      </c>
      <c r="Q57" s="37" t="str">
        <f t="shared" si="3"/>
        <v>Yes</v>
      </c>
    </row>
    <row r="58" spans="1:17" x14ac:dyDescent="0.2">
      <c r="A58" s="63" t="s">
        <v>243</v>
      </c>
      <c r="B58" s="66">
        <v>42379</v>
      </c>
      <c r="C58" s="63" t="s">
        <v>64</v>
      </c>
      <c r="D58" s="63" t="s">
        <v>64</v>
      </c>
      <c r="E58" s="63">
        <v>3</v>
      </c>
      <c r="F58" s="63" t="s">
        <v>45</v>
      </c>
      <c r="G58" s="63" t="s">
        <v>56</v>
      </c>
      <c r="H58" s="63" t="s">
        <v>86</v>
      </c>
      <c r="I58" s="63" t="s">
        <v>49</v>
      </c>
      <c r="J58" s="63" t="s">
        <v>53</v>
      </c>
      <c r="K58" s="63" t="s">
        <v>81</v>
      </c>
      <c r="L58" s="63" t="s">
        <v>95</v>
      </c>
      <c r="N58" s="38" t="str">
        <f t="shared" si="0"/>
        <v>2</v>
      </c>
      <c r="O58" s="38" t="str">
        <f t="shared" si="1"/>
        <v>3</v>
      </c>
      <c r="P58" s="37" t="str">
        <f t="shared" si="2"/>
        <v>No</v>
      </c>
      <c r="Q58" s="37" t="str">
        <f t="shared" si="3"/>
        <v>Yes</v>
      </c>
    </row>
    <row r="59" spans="1:17" x14ac:dyDescent="0.2">
      <c r="A59" s="63" t="s">
        <v>244</v>
      </c>
      <c r="B59" s="66">
        <v>42380</v>
      </c>
      <c r="C59" s="63" t="s">
        <v>64</v>
      </c>
      <c r="D59" s="63" t="s">
        <v>64</v>
      </c>
      <c r="E59" s="63">
        <v>4</v>
      </c>
      <c r="F59" s="63" t="s">
        <v>54</v>
      </c>
      <c r="G59" s="63" t="s">
        <v>55</v>
      </c>
      <c r="H59" s="63" t="s">
        <v>245</v>
      </c>
      <c r="I59" s="63" t="s">
        <v>70</v>
      </c>
      <c r="J59" s="63" t="s">
        <v>131</v>
      </c>
      <c r="K59" s="63" t="s">
        <v>81</v>
      </c>
      <c r="L59" s="63" t="s">
        <v>100</v>
      </c>
      <c r="N59" s="38" t="str">
        <f t="shared" si="0"/>
        <v>2</v>
      </c>
      <c r="O59" s="38" t="str">
        <f t="shared" si="1"/>
        <v>3</v>
      </c>
      <c r="P59" s="37" t="str">
        <f t="shared" si="2"/>
        <v>No</v>
      </c>
      <c r="Q59" s="37" t="str">
        <f t="shared" si="3"/>
        <v>Yes</v>
      </c>
    </row>
    <row r="60" spans="1:17" x14ac:dyDescent="0.2">
      <c r="A60" s="63" t="s">
        <v>246</v>
      </c>
      <c r="B60" s="66">
        <v>42380</v>
      </c>
      <c r="C60" s="63" t="s">
        <v>64</v>
      </c>
      <c r="D60" s="63" t="s">
        <v>64</v>
      </c>
      <c r="E60" s="63">
        <v>3</v>
      </c>
      <c r="F60" s="63" t="s">
        <v>54</v>
      </c>
      <c r="G60" s="63" t="s">
        <v>63</v>
      </c>
      <c r="H60" s="63" t="s">
        <v>247</v>
      </c>
      <c r="I60" s="63" t="s">
        <v>49</v>
      </c>
      <c r="J60" s="63" t="s">
        <v>53</v>
      </c>
      <c r="K60" s="63" t="s">
        <v>81</v>
      </c>
      <c r="L60" s="63" t="s">
        <v>101</v>
      </c>
      <c r="N60" s="38" t="str">
        <f t="shared" si="0"/>
        <v>4</v>
      </c>
      <c r="O60" s="38" t="str">
        <f t="shared" si="1"/>
        <v>3</v>
      </c>
      <c r="P60" s="37" t="str">
        <f t="shared" si="2"/>
        <v>No</v>
      </c>
      <c r="Q60" s="37" t="str">
        <f t="shared" si="3"/>
        <v>No</v>
      </c>
    </row>
    <row r="61" spans="1:17" x14ac:dyDescent="0.2">
      <c r="A61" s="63" t="s">
        <v>248</v>
      </c>
      <c r="B61" s="66">
        <v>42380</v>
      </c>
      <c r="C61" s="63" t="s">
        <v>64</v>
      </c>
      <c r="D61" s="63" t="s">
        <v>64</v>
      </c>
      <c r="E61" s="63">
        <v>3</v>
      </c>
      <c r="F61" s="63" t="s">
        <v>45</v>
      </c>
      <c r="G61" s="63" t="s">
        <v>119</v>
      </c>
      <c r="H61" s="63" t="s">
        <v>86</v>
      </c>
      <c r="I61" s="63" t="s">
        <v>49</v>
      </c>
      <c r="J61" s="63" t="s">
        <v>53</v>
      </c>
      <c r="K61" s="63" t="s">
        <v>81</v>
      </c>
      <c r="L61" s="63" t="s">
        <v>100</v>
      </c>
      <c r="N61" s="38" t="str">
        <f t="shared" si="0"/>
        <v>2</v>
      </c>
      <c r="O61" s="38" t="str">
        <f t="shared" si="1"/>
        <v>3</v>
      </c>
      <c r="P61" s="37" t="str">
        <f t="shared" si="2"/>
        <v>No</v>
      </c>
      <c r="Q61" s="37" t="str">
        <f t="shared" si="3"/>
        <v>Yes</v>
      </c>
    </row>
    <row r="62" spans="1:17" x14ac:dyDescent="0.2">
      <c r="A62" s="63" t="s">
        <v>249</v>
      </c>
      <c r="B62" s="66">
        <v>42380</v>
      </c>
      <c r="C62" s="63" t="s">
        <v>64</v>
      </c>
      <c r="D62" s="63" t="s">
        <v>64</v>
      </c>
      <c r="E62" s="63">
        <v>4</v>
      </c>
      <c r="F62" s="63" t="s">
        <v>54</v>
      </c>
      <c r="G62" s="63" t="s">
        <v>107</v>
      </c>
      <c r="H62" s="63" t="s">
        <v>250</v>
      </c>
      <c r="I62" s="63" t="s">
        <v>46</v>
      </c>
      <c r="J62" s="63" t="s">
        <v>44</v>
      </c>
      <c r="K62" s="63" t="s">
        <v>81</v>
      </c>
      <c r="L62" s="63" t="s">
        <v>111</v>
      </c>
      <c r="N62" s="38" t="str">
        <f t="shared" si="0"/>
        <v>2</v>
      </c>
      <c r="O62" s="38" t="str">
        <f t="shared" si="1"/>
        <v>3</v>
      </c>
      <c r="P62" s="37" t="str">
        <f t="shared" si="2"/>
        <v>No</v>
      </c>
      <c r="Q62" s="37" t="str">
        <f t="shared" si="3"/>
        <v>Yes</v>
      </c>
    </row>
    <row r="63" spans="1:17" x14ac:dyDescent="0.2">
      <c r="A63" s="63" t="s">
        <v>249</v>
      </c>
      <c r="B63" s="66">
        <v>42380</v>
      </c>
      <c r="C63" s="63" t="s">
        <v>64</v>
      </c>
      <c r="D63" s="63" t="s">
        <v>64</v>
      </c>
      <c r="E63" s="63">
        <v>4</v>
      </c>
      <c r="F63" s="63" t="s">
        <v>54</v>
      </c>
      <c r="G63" s="63" t="s">
        <v>107</v>
      </c>
      <c r="H63" s="63" t="s">
        <v>250</v>
      </c>
      <c r="I63" s="63" t="s">
        <v>46</v>
      </c>
      <c r="J63" s="63" t="s">
        <v>44</v>
      </c>
      <c r="K63" s="63" t="s">
        <v>81</v>
      </c>
      <c r="L63" s="63" t="s">
        <v>102</v>
      </c>
      <c r="N63" s="38" t="str">
        <f t="shared" si="0"/>
        <v>4</v>
      </c>
      <c r="O63" s="38" t="str">
        <f t="shared" si="1"/>
        <v>2</v>
      </c>
      <c r="P63" s="37" t="str">
        <f t="shared" si="2"/>
        <v>No</v>
      </c>
      <c r="Q63" s="37" t="str">
        <f t="shared" si="3"/>
        <v>Yes</v>
      </c>
    </row>
    <row r="64" spans="1:17" x14ac:dyDescent="0.2">
      <c r="A64" s="63" t="s">
        <v>251</v>
      </c>
      <c r="B64" s="66">
        <v>42380</v>
      </c>
      <c r="C64" s="63" t="s">
        <v>64</v>
      </c>
      <c r="D64" s="63" t="s">
        <v>64</v>
      </c>
      <c r="E64" s="63">
        <v>3</v>
      </c>
      <c r="F64" s="63" t="s">
        <v>40</v>
      </c>
      <c r="G64" s="63" t="s">
        <v>67</v>
      </c>
      <c r="H64" s="63" t="s">
        <v>252</v>
      </c>
      <c r="I64" s="63" t="s">
        <v>60</v>
      </c>
      <c r="J64" s="63" t="s">
        <v>57</v>
      </c>
      <c r="K64" s="63" t="s">
        <v>81</v>
      </c>
      <c r="L64" s="63" t="s">
        <v>111</v>
      </c>
      <c r="N64" s="38" t="str">
        <f t="shared" si="0"/>
        <v>2</v>
      </c>
      <c r="O64" s="38" t="str">
        <f t="shared" si="1"/>
        <v>3</v>
      </c>
      <c r="P64" s="37" t="str">
        <f t="shared" si="2"/>
        <v>No</v>
      </c>
      <c r="Q64" s="37" t="str">
        <f t="shared" si="3"/>
        <v>Yes</v>
      </c>
    </row>
    <row r="65" spans="1:17" x14ac:dyDescent="0.2">
      <c r="A65" s="63" t="s">
        <v>253</v>
      </c>
      <c r="B65" s="66">
        <v>42381</v>
      </c>
      <c r="C65" s="63" t="s">
        <v>64</v>
      </c>
      <c r="D65" s="63" t="s">
        <v>64</v>
      </c>
      <c r="E65" s="63">
        <v>4</v>
      </c>
      <c r="F65" s="63" t="s">
        <v>54</v>
      </c>
      <c r="G65" s="63" t="s">
        <v>103</v>
      </c>
      <c r="H65" s="63" t="s">
        <v>254</v>
      </c>
      <c r="I65" s="63" t="s">
        <v>93</v>
      </c>
      <c r="J65" s="63" t="s">
        <v>92</v>
      </c>
      <c r="K65" s="63" t="s">
        <v>81</v>
      </c>
      <c r="L65" s="63" t="s">
        <v>101</v>
      </c>
      <c r="N65" s="38" t="str">
        <f t="shared" si="0"/>
        <v>4</v>
      </c>
      <c r="O65" s="38" t="str">
        <f t="shared" si="1"/>
        <v>3</v>
      </c>
      <c r="P65" s="37" t="str">
        <f t="shared" si="2"/>
        <v>No</v>
      </c>
      <c r="Q65" s="37" t="str">
        <f t="shared" si="3"/>
        <v>No</v>
      </c>
    </row>
    <row r="66" spans="1:17" x14ac:dyDescent="0.2">
      <c r="A66" s="63" t="s">
        <v>255</v>
      </c>
      <c r="B66" s="66">
        <v>42381</v>
      </c>
      <c r="C66" s="63" t="s">
        <v>64</v>
      </c>
      <c r="D66" s="63" t="s">
        <v>64</v>
      </c>
      <c r="E66" s="63">
        <v>3</v>
      </c>
      <c r="F66" s="63" t="s">
        <v>45</v>
      </c>
      <c r="G66" s="63" t="s">
        <v>116</v>
      </c>
      <c r="H66" s="63" t="s">
        <v>86</v>
      </c>
      <c r="I66" s="63" t="s">
        <v>49</v>
      </c>
      <c r="J66" s="63" t="s">
        <v>53</v>
      </c>
      <c r="K66" s="63" t="s">
        <v>81</v>
      </c>
      <c r="L66" s="63" t="s">
        <v>100</v>
      </c>
      <c r="N66" s="38" t="str">
        <f t="shared" si="0"/>
        <v>2</v>
      </c>
      <c r="O66" s="38" t="str">
        <f t="shared" si="1"/>
        <v>3</v>
      </c>
      <c r="P66" s="37" t="str">
        <f t="shared" si="2"/>
        <v>No</v>
      </c>
      <c r="Q66" s="37" t="str">
        <f t="shared" si="3"/>
        <v>Yes</v>
      </c>
    </row>
    <row r="67" spans="1:17" x14ac:dyDescent="0.2">
      <c r="A67" s="63" t="s">
        <v>256</v>
      </c>
      <c r="B67" s="66">
        <v>42381</v>
      </c>
      <c r="C67" s="63" t="s">
        <v>64</v>
      </c>
      <c r="D67" s="63" t="s">
        <v>64</v>
      </c>
      <c r="E67" s="63">
        <v>2</v>
      </c>
      <c r="F67" s="63" t="s">
        <v>40</v>
      </c>
      <c r="G67" s="63" t="s">
        <v>50</v>
      </c>
      <c r="H67" s="63" t="s">
        <v>257</v>
      </c>
      <c r="I67" s="63" t="s">
        <v>51</v>
      </c>
      <c r="J67" s="63" t="s">
        <v>61</v>
      </c>
      <c r="K67" s="63" t="s">
        <v>81</v>
      </c>
      <c r="L67" s="63" t="s">
        <v>115</v>
      </c>
      <c r="N67" s="38" t="str">
        <f t="shared" si="0"/>
        <v>3</v>
      </c>
      <c r="O67" s="38" t="str">
        <f t="shared" si="1"/>
        <v>2</v>
      </c>
      <c r="P67" s="37" t="str">
        <f t="shared" si="2"/>
        <v>No</v>
      </c>
      <c r="Q67" s="37" t="str">
        <f t="shared" si="3"/>
        <v>Yes</v>
      </c>
    </row>
    <row r="68" spans="1:17" x14ac:dyDescent="0.2">
      <c r="A68" s="63" t="s">
        <v>258</v>
      </c>
      <c r="B68" s="66">
        <v>42381</v>
      </c>
      <c r="C68" s="63" t="s">
        <v>64</v>
      </c>
      <c r="D68" s="63" t="s">
        <v>64</v>
      </c>
      <c r="E68" s="63">
        <v>4</v>
      </c>
      <c r="F68" s="63" t="s">
        <v>54</v>
      </c>
      <c r="G68" s="63" t="s">
        <v>90</v>
      </c>
      <c r="H68" s="63" t="s">
        <v>259</v>
      </c>
      <c r="I68" s="63" t="s">
        <v>49</v>
      </c>
      <c r="J68" s="63" t="s">
        <v>53</v>
      </c>
      <c r="K68" s="63" t="s">
        <v>81</v>
      </c>
      <c r="L68" s="63" t="s">
        <v>101</v>
      </c>
      <c r="N68" s="38" t="str">
        <f t="shared" si="0"/>
        <v>4</v>
      </c>
      <c r="O68" s="38" t="str">
        <f t="shared" si="1"/>
        <v>3</v>
      </c>
      <c r="P68" s="37" t="str">
        <f t="shared" si="2"/>
        <v>No</v>
      </c>
      <c r="Q68" s="37" t="str">
        <f t="shared" si="3"/>
        <v>No</v>
      </c>
    </row>
    <row r="69" spans="1:17" x14ac:dyDescent="0.2">
      <c r="A69" s="63" t="s">
        <v>260</v>
      </c>
      <c r="B69" s="66">
        <v>42381</v>
      </c>
      <c r="C69" s="63" t="s">
        <v>64</v>
      </c>
      <c r="D69" s="63" t="s">
        <v>64</v>
      </c>
      <c r="E69" s="63">
        <v>3</v>
      </c>
      <c r="F69" s="63" t="s">
        <v>45</v>
      </c>
      <c r="G69" s="63" t="s">
        <v>85</v>
      </c>
      <c r="H69" s="63" t="s">
        <v>86</v>
      </c>
      <c r="I69" s="63" t="s">
        <v>49</v>
      </c>
      <c r="J69" s="63" t="s">
        <v>53</v>
      </c>
      <c r="K69" s="63" t="s">
        <v>81</v>
      </c>
      <c r="L69" s="63" t="s">
        <v>100</v>
      </c>
      <c r="N69" s="38" t="str">
        <f t="shared" si="0"/>
        <v>2</v>
      </c>
      <c r="O69" s="38" t="str">
        <f t="shared" si="1"/>
        <v>3</v>
      </c>
      <c r="P69" s="37" t="str">
        <f t="shared" si="2"/>
        <v>No</v>
      </c>
      <c r="Q69" s="37" t="str">
        <f t="shared" si="3"/>
        <v>Yes</v>
      </c>
    </row>
    <row r="70" spans="1:17" x14ac:dyDescent="0.2">
      <c r="A70" s="63" t="s">
        <v>261</v>
      </c>
      <c r="B70" s="66">
        <v>42381</v>
      </c>
      <c r="C70" s="63" t="s">
        <v>64</v>
      </c>
      <c r="D70" s="63" t="s">
        <v>64</v>
      </c>
      <c r="E70" s="63">
        <v>3</v>
      </c>
      <c r="F70" s="63" t="s">
        <v>45</v>
      </c>
      <c r="G70" s="63" t="s">
        <v>85</v>
      </c>
      <c r="H70" s="63" t="s">
        <v>86</v>
      </c>
      <c r="I70" s="63" t="s">
        <v>49</v>
      </c>
      <c r="J70" s="63" t="s">
        <v>53</v>
      </c>
      <c r="K70" s="63" t="s">
        <v>81</v>
      </c>
      <c r="L70" s="63" t="s">
        <v>100</v>
      </c>
      <c r="N70" s="38" t="str">
        <f t="shared" si="0"/>
        <v>2</v>
      </c>
      <c r="O70" s="38" t="str">
        <f t="shared" si="1"/>
        <v>3</v>
      </c>
      <c r="P70" s="37" t="str">
        <f t="shared" si="2"/>
        <v>No</v>
      </c>
      <c r="Q70" s="37" t="str">
        <f t="shared" si="3"/>
        <v>Yes</v>
      </c>
    </row>
    <row r="71" spans="1:17" x14ac:dyDescent="0.2">
      <c r="A71" s="63" t="s">
        <v>262</v>
      </c>
      <c r="B71" s="66">
        <v>42381</v>
      </c>
      <c r="C71" s="63" t="s">
        <v>64</v>
      </c>
      <c r="D71" s="63" t="s">
        <v>64</v>
      </c>
      <c r="E71" s="63">
        <v>3</v>
      </c>
      <c r="F71" s="63" t="s">
        <v>45</v>
      </c>
      <c r="G71" s="63" t="s">
        <v>85</v>
      </c>
      <c r="H71" s="63" t="s">
        <v>86</v>
      </c>
      <c r="I71" s="63" t="s">
        <v>49</v>
      </c>
      <c r="J71" s="63" t="s">
        <v>53</v>
      </c>
      <c r="K71" s="63" t="s">
        <v>81</v>
      </c>
      <c r="L71" s="63" t="s">
        <v>100</v>
      </c>
      <c r="N71" s="38" t="str">
        <f t="shared" si="0"/>
        <v>2</v>
      </c>
      <c r="O71" s="38" t="str">
        <f t="shared" si="1"/>
        <v>3</v>
      </c>
      <c r="P71" s="37" t="str">
        <f t="shared" si="2"/>
        <v>No</v>
      </c>
      <c r="Q71" s="37" t="str">
        <f t="shared" si="3"/>
        <v>Yes</v>
      </c>
    </row>
    <row r="72" spans="1:17" x14ac:dyDescent="0.2">
      <c r="A72" s="63" t="s">
        <v>263</v>
      </c>
      <c r="B72" s="66">
        <v>42382</v>
      </c>
      <c r="C72" s="63" t="s">
        <v>64</v>
      </c>
      <c r="D72" s="63" t="s">
        <v>64</v>
      </c>
      <c r="E72" s="63">
        <v>3</v>
      </c>
      <c r="F72" s="63" t="s">
        <v>54</v>
      </c>
      <c r="G72" s="63" t="s">
        <v>63</v>
      </c>
      <c r="H72" s="63" t="s">
        <v>264</v>
      </c>
      <c r="I72" s="63" t="s">
        <v>93</v>
      </c>
      <c r="J72" s="63" t="s">
        <v>92</v>
      </c>
      <c r="K72" s="63" t="s">
        <v>81</v>
      </c>
      <c r="L72" s="63" t="s">
        <v>111</v>
      </c>
      <c r="N72" s="38" t="str">
        <f t="shared" si="0"/>
        <v>2</v>
      </c>
      <c r="O72" s="38" t="str">
        <f t="shared" si="1"/>
        <v>3</v>
      </c>
      <c r="P72" s="37" t="str">
        <f t="shared" si="2"/>
        <v>No</v>
      </c>
      <c r="Q72" s="37" t="str">
        <f t="shared" si="3"/>
        <v>Yes</v>
      </c>
    </row>
    <row r="73" spans="1:17" x14ac:dyDescent="0.2">
      <c r="A73" s="63" t="s">
        <v>265</v>
      </c>
      <c r="B73" s="66">
        <v>42382</v>
      </c>
      <c r="C73" s="63" t="s">
        <v>64</v>
      </c>
      <c r="D73" s="63" t="s">
        <v>64</v>
      </c>
      <c r="E73" s="63">
        <v>3</v>
      </c>
      <c r="F73" s="63" t="s">
        <v>40</v>
      </c>
      <c r="G73" s="63" t="s">
        <v>130</v>
      </c>
      <c r="H73" s="63" t="s">
        <v>266</v>
      </c>
      <c r="I73" s="63" t="s">
        <v>60</v>
      </c>
      <c r="J73" s="63" t="s">
        <v>57</v>
      </c>
      <c r="K73" s="63" t="s">
        <v>81</v>
      </c>
      <c r="L73" s="63" t="s">
        <v>111</v>
      </c>
      <c r="N73" s="38" t="str">
        <f t="shared" si="0"/>
        <v>2</v>
      </c>
      <c r="O73" s="38" t="str">
        <f t="shared" si="1"/>
        <v>3</v>
      </c>
      <c r="P73" s="37" t="str">
        <f t="shared" si="2"/>
        <v>No</v>
      </c>
      <c r="Q73" s="37" t="str">
        <f t="shared" si="3"/>
        <v>Yes</v>
      </c>
    </row>
    <row r="74" spans="1:17" x14ac:dyDescent="0.2">
      <c r="A74" s="63" t="s">
        <v>267</v>
      </c>
      <c r="B74" s="66">
        <v>42383</v>
      </c>
      <c r="C74" s="63" t="s">
        <v>64</v>
      </c>
      <c r="D74" s="63" t="s">
        <v>64</v>
      </c>
      <c r="E74" s="63">
        <v>3</v>
      </c>
      <c r="F74" s="63" t="s">
        <v>77</v>
      </c>
      <c r="G74" s="63" t="s">
        <v>268</v>
      </c>
      <c r="H74" s="63" t="s">
        <v>269</v>
      </c>
      <c r="I74" s="63" t="s">
        <v>137</v>
      </c>
      <c r="J74" s="63" t="s">
        <v>270</v>
      </c>
      <c r="K74" s="63" t="s">
        <v>81</v>
      </c>
      <c r="L74" s="63" t="s">
        <v>101</v>
      </c>
      <c r="N74" s="38" t="str">
        <f t="shared" si="0"/>
        <v>4</v>
      </c>
      <c r="O74" s="38" t="str">
        <f t="shared" si="1"/>
        <v>3</v>
      </c>
      <c r="P74" s="37" t="str">
        <f t="shared" si="2"/>
        <v>No</v>
      </c>
      <c r="Q74" s="37" t="str">
        <f t="shared" si="3"/>
        <v>No</v>
      </c>
    </row>
    <row r="75" spans="1:17" x14ac:dyDescent="0.2">
      <c r="A75" s="63" t="s">
        <v>271</v>
      </c>
      <c r="B75" s="66">
        <v>42383</v>
      </c>
      <c r="C75" s="63" t="s">
        <v>88</v>
      </c>
      <c r="D75" s="63" t="s">
        <v>87</v>
      </c>
      <c r="E75" s="63">
        <v>2</v>
      </c>
      <c r="F75" s="63" t="s">
        <v>40</v>
      </c>
      <c r="G75" s="63" t="s">
        <v>110</v>
      </c>
      <c r="H75" s="63" t="s">
        <v>272</v>
      </c>
      <c r="I75" s="63"/>
      <c r="J75" s="63"/>
      <c r="K75" s="63" t="s">
        <v>81</v>
      </c>
      <c r="L75" s="63" t="s">
        <v>115</v>
      </c>
      <c r="N75" s="38" t="str">
        <f t="shared" si="0"/>
        <v>3</v>
      </c>
      <c r="O75" s="38" t="str">
        <f t="shared" si="1"/>
        <v>2</v>
      </c>
      <c r="P75" s="37" t="str">
        <f t="shared" si="2"/>
        <v>No</v>
      </c>
      <c r="Q75" s="37" t="str">
        <f t="shared" si="3"/>
        <v>Yes</v>
      </c>
    </row>
    <row r="76" spans="1:17" x14ac:dyDescent="0.2">
      <c r="A76" s="63" t="s">
        <v>273</v>
      </c>
      <c r="B76" s="66">
        <v>42384</v>
      </c>
      <c r="C76" s="63" t="s">
        <v>64</v>
      </c>
      <c r="D76" s="63" t="s">
        <v>64</v>
      </c>
      <c r="E76" s="63">
        <v>3</v>
      </c>
      <c r="F76" s="63" t="s">
        <v>54</v>
      </c>
      <c r="G76" s="63" t="s">
        <v>83</v>
      </c>
      <c r="H76" s="63" t="s">
        <v>274</v>
      </c>
      <c r="I76" s="63" t="s">
        <v>94</v>
      </c>
      <c r="J76" s="63" t="s">
        <v>275</v>
      </c>
      <c r="K76" s="63" t="s">
        <v>81</v>
      </c>
      <c r="L76" s="63" t="s">
        <v>111</v>
      </c>
      <c r="N76" s="38" t="str">
        <f t="shared" si="0"/>
        <v>2</v>
      </c>
      <c r="O76" s="38" t="str">
        <f t="shared" si="1"/>
        <v>3</v>
      </c>
      <c r="P76" s="37" t="str">
        <f t="shared" si="2"/>
        <v>No</v>
      </c>
      <c r="Q76" s="37" t="str">
        <f t="shared" si="3"/>
        <v>Yes</v>
      </c>
    </row>
    <row r="77" spans="1:17" x14ac:dyDescent="0.2">
      <c r="A77" s="63" t="s">
        <v>276</v>
      </c>
      <c r="B77" s="66">
        <v>42384</v>
      </c>
      <c r="C77" s="63" t="s">
        <v>64</v>
      </c>
      <c r="D77" s="63" t="s">
        <v>64</v>
      </c>
      <c r="E77" s="63">
        <v>3</v>
      </c>
      <c r="F77" s="63" t="s">
        <v>54</v>
      </c>
      <c r="G77" s="63" t="s">
        <v>90</v>
      </c>
      <c r="H77" s="63" t="s">
        <v>277</v>
      </c>
      <c r="I77" s="63" t="s">
        <v>46</v>
      </c>
      <c r="J77" s="63" t="s">
        <v>122</v>
      </c>
      <c r="K77" s="63" t="s">
        <v>81</v>
      </c>
      <c r="L77" s="63" t="s">
        <v>111</v>
      </c>
      <c r="N77" s="38" t="str">
        <f t="shared" si="0"/>
        <v>2</v>
      </c>
      <c r="O77" s="38" t="str">
        <f t="shared" si="1"/>
        <v>3</v>
      </c>
      <c r="P77" s="37" t="str">
        <f t="shared" si="2"/>
        <v>No</v>
      </c>
      <c r="Q77" s="37" t="str">
        <f t="shared" si="3"/>
        <v>Yes</v>
      </c>
    </row>
    <row r="78" spans="1:17" x14ac:dyDescent="0.2">
      <c r="A78" s="63" t="s">
        <v>276</v>
      </c>
      <c r="B78" s="66">
        <v>42384</v>
      </c>
      <c r="C78" s="63" t="s">
        <v>64</v>
      </c>
      <c r="D78" s="63" t="s">
        <v>64</v>
      </c>
      <c r="E78" s="63">
        <v>3</v>
      </c>
      <c r="F78" s="63" t="s">
        <v>54</v>
      </c>
      <c r="G78" s="63" t="s">
        <v>90</v>
      </c>
      <c r="H78" s="63" t="s">
        <v>277</v>
      </c>
      <c r="I78" s="63" t="s">
        <v>46</v>
      </c>
      <c r="J78" s="63" t="s">
        <v>122</v>
      </c>
      <c r="K78" s="63" t="s">
        <v>81</v>
      </c>
      <c r="L78" s="63" t="s">
        <v>102</v>
      </c>
      <c r="N78" s="38" t="str">
        <f t="shared" si="0"/>
        <v>4</v>
      </c>
      <c r="O78" s="38" t="str">
        <f t="shared" si="1"/>
        <v>2</v>
      </c>
      <c r="P78" s="37" t="str">
        <f t="shared" si="2"/>
        <v>No</v>
      </c>
      <c r="Q78" s="37" t="str">
        <f t="shared" si="3"/>
        <v>Yes</v>
      </c>
    </row>
    <row r="79" spans="1:17" x14ac:dyDescent="0.2">
      <c r="A79" s="63" t="s">
        <v>278</v>
      </c>
      <c r="B79" s="66">
        <v>42384</v>
      </c>
      <c r="C79" s="63" t="s">
        <v>64</v>
      </c>
      <c r="D79" s="63" t="s">
        <v>64</v>
      </c>
      <c r="E79" s="63">
        <v>4</v>
      </c>
      <c r="F79" s="63" t="s">
        <v>43</v>
      </c>
      <c r="G79" s="63" t="s">
        <v>58</v>
      </c>
      <c r="H79" s="63" t="s">
        <v>279</v>
      </c>
      <c r="I79" s="63" t="s">
        <v>134</v>
      </c>
      <c r="J79" s="63" t="s">
        <v>53</v>
      </c>
      <c r="K79" s="63" t="s">
        <v>81</v>
      </c>
      <c r="L79" s="63" t="s">
        <v>123</v>
      </c>
      <c r="N79" s="38" t="str">
        <f t="shared" si="0"/>
        <v>1</v>
      </c>
      <c r="O79" s="38" t="str">
        <f t="shared" si="1"/>
        <v>2</v>
      </c>
      <c r="P79" s="37" t="str">
        <f t="shared" si="2"/>
        <v>Yes</v>
      </c>
      <c r="Q79" s="37" t="str">
        <f t="shared" si="3"/>
        <v>No</v>
      </c>
    </row>
    <row r="80" spans="1:17" x14ac:dyDescent="0.2">
      <c r="A80" s="63" t="s">
        <v>280</v>
      </c>
      <c r="B80" s="66">
        <v>42384</v>
      </c>
      <c r="C80" s="63" t="s">
        <v>39</v>
      </c>
      <c r="D80" s="63" t="s">
        <v>39</v>
      </c>
      <c r="E80" s="63">
        <v>4</v>
      </c>
      <c r="F80" s="63" t="s">
        <v>54</v>
      </c>
      <c r="G80" s="63" t="s">
        <v>55</v>
      </c>
      <c r="H80" s="63" t="s">
        <v>281</v>
      </c>
      <c r="I80" s="63" t="s">
        <v>70</v>
      </c>
      <c r="J80" s="63" t="s">
        <v>131</v>
      </c>
      <c r="K80" s="63" t="s">
        <v>81</v>
      </c>
      <c r="L80" s="63" t="s">
        <v>106</v>
      </c>
      <c r="N80" s="38" t="str">
        <f t="shared" si="0"/>
        <v>1</v>
      </c>
      <c r="O80" s="38" t="str">
        <f t="shared" si="1"/>
        <v>3</v>
      </c>
      <c r="P80" s="37" t="str">
        <f t="shared" si="2"/>
        <v>Yes</v>
      </c>
      <c r="Q80" s="37" t="str">
        <f t="shared" si="3"/>
        <v>No</v>
      </c>
    </row>
    <row r="81" spans="1:17" x14ac:dyDescent="0.2">
      <c r="A81" s="63" t="s">
        <v>282</v>
      </c>
      <c r="B81" s="66">
        <v>42384</v>
      </c>
      <c r="C81" s="63" t="s">
        <v>64</v>
      </c>
      <c r="D81" s="63" t="s">
        <v>64</v>
      </c>
      <c r="E81" s="63">
        <v>4</v>
      </c>
      <c r="F81" s="63" t="s">
        <v>54</v>
      </c>
      <c r="G81" s="63" t="s">
        <v>83</v>
      </c>
      <c r="H81" s="63" t="s">
        <v>283</v>
      </c>
      <c r="I81" s="63" t="s">
        <v>70</v>
      </c>
      <c r="J81" s="63" t="s">
        <v>131</v>
      </c>
      <c r="K81" s="63" t="s">
        <v>81</v>
      </c>
      <c r="L81" s="63" t="s">
        <v>106</v>
      </c>
      <c r="N81" s="38" t="str">
        <f t="shared" si="0"/>
        <v>1</v>
      </c>
      <c r="O81" s="38" t="str">
        <f t="shared" si="1"/>
        <v>3</v>
      </c>
      <c r="P81" s="37" t="str">
        <f t="shared" si="2"/>
        <v>Yes</v>
      </c>
      <c r="Q81" s="37" t="str">
        <f t="shared" si="3"/>
        <v>No</v>
      </c>
    </row>
    <row r="82" spans="1:17" x14ac:dyDescent="0.2">
      <c r="A82" s="63" t="s">
        <v>284</v>
      </c>
      <c r="B82" s="66">
        <v>42386</v>
      </c>
      <c r="C82" s="63" t="s">
        <v>64</v>
      </c>
      <c r="D82" s="63" t="s">
        <v>64</v>
      </c>
      <c r="E82" s="63">
        <v>3</v>
      </c>
      <c r="F82" s="63" t="s">
        <v>128</v>
      </c>
      <c r="G82" s="63" t="s">
        <v>136</v>
      </c>
      <c r="H82" s="63" t="s">
        <v>285</v>
      </c>
      <c r="I82" s="63" t="s">
        <v>134</v>
      </c>
      <c r="J82" s="63" t="s">
        <v>180</v>
      </c>
      <c r="K82" s="63" t="s">
        <v>81</v>
      </c>
      <c r="L82" s="63" t="s">
        <v>111</v>
      </c>
      <c r="N82" s="38" t="str">
        <f t="shared" si="0"/>
        <v>2</v>
      </c>
      <c r="O82" s="38" t="str">
        <f t="shared" si="1"/>
        <v>3</v>
      </c>
      <c r="P82" s="37" t="str">
        <f t="shared" si="2"/>
        <v>No</v>
      </c>
      <c r="Q82" s="37" t="str">
        <f t="shared" si="3"/>
        <v>Yes</v>
      </c>
    </row>
    <row r="83" spans="1:17" x14ac:dyDescent="0.2">
      <c r="A83" s="63" t="s">
        <v>286</v>
      </c>
      <c r="B83" s="66">
        <v>42387</v>
      </c>
      <c r="C83" s="63" t="s">
        <v>64</v>
      </c>
      <c r="D83" s="63" t="s">
        <v>64</v>
      </c>
      <c r="E83" s="63">
        <v>3</v>
      </c>
      <c r="F83" s="63" t="s">
        <v>54</v>
      </c>
      <c r="G83" s="63" t="s">
        <v>68</v>
      </c>
      <c r="H83" s="63" t="s">
        <v>287</v>
      </c>
      <c r="I83" s="63" t="s">
        <v>46</v>
      </c>
      <c r="J83" s="63" t="s">
        <v>44</v>
      </c>
      <c r="K83" s="63" t="s">
        <v>81</v>
      </c>
      <c r="L83" s="63" t="s">
        <v>101</v>
      </c>
      <c r="N83" s="38" t="str">
        <f t="shared" si="0"/>
        <v>4</v>
      </c>
      <c r="O83" s="38" t="str">
        <f t="shared" si="1"/>
        <v>3</v>
      </c>
      <c r="P83" s="37" t="str">
        <f t="shared" si="2"/>
        <v>No</v>
      </c>
      <c r="Q83" s="37" t="str">
        <f t="shared" si="3"/>
        <v>No</v>
      </c>
    </row>
    <row r="84" spans="1:17" x14ac:dyDescent="0.2">
      <c r="A84" s="63" t="s">
        <v>288</v>
      </c>
      <c r="B84" s="66">
        <v>42388</v>
      </c>
      <c r="C84" s="63" t="s">
        <v>39</v>
      </c>
      <c r="D84" s="63" t="s">
        <v>39</v>
      </c>
      <c r="E84" s="63">
        <v>4</v>
      </c>
      <c r="F84" s="63" t="s">
        <v>54</v>
      </c>
      <c r="G84" s="63" t="s">
        <v>63</v>
      </c>
      <c r="H84" s="63" t="s">
        <v>289</v>
      </c>
      <c r="I84" s="63" t="s">
        <v>70</v>
      </c>
      <c r="J84" s="63" t="s">
        <v>131</v>
      </c>
      <c r="K84" s="63" t="s">
        <v>81</v>
      </c>
      <c r="L84" s="63" t="s">
        <v>101</v>
      </c>
      <c r="N84" s="38" t="str">
        <f t="shared" si="0"/>
        <v>4</v>
      </c>
      <c r="O84" s="38" t="str">
        <f t="shared" si="1"/>
        <v>3</v>
      </c>
      <c r="P84" s="37" t="str">
        <f t="shared" si="2"/>
        <v>No</v>
      </c>
      <c r="Q84" s="37" t="str">
        <f t="shared" si="3"/>
        <v>No</v>
      </c>
    </row>
    <row r="85" spans="1:17" x14ac:dyDescent="0.2">
      <c r="A85" s="63" t="s">
        <v>290</v>
      </c>
      <c r="B85" s="66">
        <v>42388</v>
      </c>
      <c r="C85" s="63" t="s">
        <v>64</v>
      </c>
      <c r="D85" s="63" t="s">
        <v>64</v>
      </c>
      <c r="E85" s="63">
        <v>2</v>
      </c>
      <c r="F85" s="63" t="s">
        <v>54</v>
      </c>
      <c r="G85" s="63" t="s">
        <v>68</v>
      </c>
      <c r="H85" s="63" t="s">
        <v>291</v>
      </c>
      <c r="I85" s="63" t="s">
        <v>46</v>
      </c>
      <c r="J85" s="63" t="s">
        <v>113</v>
      </c>
      <c r="K85" s="63" t="s">
        <v>81</v>
      </c>
      <c r="L85" s="63" t="s">
        <v>292</v>
      </c>
      <c r="N85" s="38" t="str">
        <f t="shared" si="0"/>
        <v>4</v>
      </c>
      <c r="O85" s="38" t="str">
        <f t="shared" si="1"/>
        <v>2</v>
      </c>
      <c r="P85" s="37" t="str">
        <f t="shared" si="2"/>
        <v>No</v>
      </c>
      <c r="Q85" s="37" t="str">
        <f t="shared" si="3"/>
        <v>Yes</v>
      </c>
    </row>
    <row r="86" spans="1:17" x14ac:dyDescent="0.2">
      <c r="A86" s="63" t="s">
        <v>293</v>
      </c>
      <c r="B86" s="66">
        <v>42388</v>
      </c>
      <c r="C86" s="63" t="s">
        <v>64</v>
      </c>
      <c r="D86" s="63" t="s">
        <v>64</v>
      </c>
      <c r="E86" s="63">
        <v>3</v>
      </c>
      <c r="F86" s="63" t="s">
        <v>45</v>
      </c>
      <c r="G86" s="63" t="s">
        <v>74</v>
      </c>
      <c r="H86" s="63" t="s">
        <v>294</v>
      </c>
      <c r="I86" s="63" t="s">
        <v>49</v>
      </c>
      <c r="J86" s="63" t="s">
        <v>75</v>
      </c>
      <c r="K86" s="63" t="s">
        <v>81</v>
      </c>
      <c r="L86" s="63" t="s">
        <v>101</v>
      </c>
      <c r="N86" s="38" t="str">
        <f t="shared" si="0"/>
        <v>4</v>
      </c>
      <c r="O86" s="38" t="str">
        <f t="shared" si="1"/>
        <v>3</v>
      </c>
      <c r="P86" s="37" t="str">
        <f t="shared" si="2"/>
        <v>No</v>
      </c>
      <c r="Q86" s="37" t="str">
        <f t="shared" si="3"/>
        <v>No</v>
      </c>
    </row>
    <row r="87" spans="1:17" x14ac:dyDescent="0.2">
      <c r="A87" s="63" t="s">
        <v>293</v>
      </c>
      <c r="B87" s="66">
        <v>42388</v>
      </c>
      <c r="C87" s="63" t="s">
        <v>64</v>
      </c>
      <c r="D87" s="63" t="s">
        <v>64</v>
      </c>
      <c r="E87" s="63">
        <v>3</v>
      </c>
      <c r="F87" s="63" t="s">
        <v>45</v>
      </c>
      <c r="G87" s="63" t="s">
        <v>74</v>
      </c>
      <c r="H87" s="63" t="s">
        <v>294</v>
      </c>
      <c r="I87" s="63" t="s">
        <v>49</v>
      </c>
      <c r="J87" s="63" t="s">
        <v>75</v>
      </c>
      <c r="K87" s="63" t="s">
        <v>81</v>
      </c>
      <c r="L87" s="63" t="s">
        <v>111</v>
      </c>
      <c r="N87" s="38" t="str">
        <f t="shared" si="0"/>
        <v>2</v>
      </c>
      <c r="O87" s="38" t="str">
        <f t="shared" si="1"/>
        <v>3</v>
      </c>
      <c r="P87" s="37" t="str">
        <f t="shared" si="2"/>
        <v>No</v>
      </c>
      <c r="Q87" s="37" t="str">
        <f t="shared" si="3"/>
        <v>Yes</v>
      </c>
    </row>
    <row r="88" spans="1:17" x14ac:dyDescent="0.2">
      <c r="A88" s="63" t="s">
        <v>295</v>
      </c>
      <c r="B88" s="66">
        <v>42388</v>
      </c>
      <c r="C88" s="63" t="s">
        <v>64</v>
      </c>
      <c r="D88" s="63" t="s">
        <v>64</v>
      </c>
      <c r="E88" s="63">
        <v>3</v>
      </c>
      <c r="F88" s="63" t="s">
        <v>54</v>
      </c>
      <c r="G88" s="63" t="s">
        <v>90</v>
      </c>
      <c r="H88" s="63" t="s">
        <v>296</v>
      </c>
      <c r="I88" s="63" t="s">
        <v>72</v>
      </c>
      <c r="J88" s="63" t="s">
        <v>73</v>
      </c>
      <c r="K88" s="63" t="s">
        <v>81</v>
      </c>
      <c r="L88" s="63" t="s">
        <v>111</v>
      </c>
      <c r="N88" s="38" t="str">
        <f t="shared" si="0"/>
        <v>2</v>
      </c>
      <c r="O88" s="38" t="str">
        <f t="shared" si="1"/>
        <v>3</v>
      </c>
      <c r="P88" s="37" t="str">
        <f t="shared" si="2"/>
        <v>No</v>
      </c>
      <c r="Q88" s="37" t="str">
        <f t="shared" si="3"/>
        <v>Yes</v>
      </c>
    </row>
    <row r="89" spans="1:17" x14ac:dyDescent="0.2">
      <c r="A89" s="63" t="s">
        <v>297</v>
      </c>
      <c r="B89" s="66">
        <v>42388</v>
      </c>
      <c r="C89" s="63" t="s">
        <v>64</v>
      </c>
      <c r="D89" s="63" t="s">
        <v>64</v>
      </c>
      <c r="E89" s="63">
        <v>1</v>
      </c>
      <c r="F89" s="63" t="s">
        <v>54</v>
      </c>
      <c r="G89" s="63" t="s">
        <v>109</v>
      </c>
      <c r="H89" s="63" t="s">
        <v>298</v>
      </c>
      <c r="I89" s="63" t="s">
        <v>112</v>
      </c>
      <c r="J89" s="63" t="s">
        <v>135</v>
      </c>
      <c r="K89" s="63" t="s">
        <v>81</v>
      </c>
      <c r="L89" s="63" t="s">
        <v>133</v>
      </c>
      <c r="N89" s="38" t="str">
        <f t="shared" si="0"/>
        <v>4</v>
      </c>
      <c r="O89" s="38" t="str">
        <f t="shared" si="1"/>
        <v>1</v>
      </c>
      <c r="P89" s="37" t="str">
        <f t="shared" si="2"/>
        <v>Yes</v>
      </c>
      <c r="Q89" s="37" t="str">
        <f t="shared" si="3"/>
        <v>No</v>
      </c>
    </row>
    <row r="90" spans="1:17" x14ac:dyDescent="0.2">
      <c r="A90" s="63" t="s">
        <v>299</v>
      </c>
      <c r="B90" s="66">
        <v>42388</v>
      </c>
      <c r="C90" s="63" t="s">
        <v>64</v>
      </c>
      <c r="D90" s="63" t="s">
        <v>64</v>
      </c>
      <c r="E90" s="63">
        <v>3</v>
      </c>
      <c r="F90" s="63" t="s">
        <v>54</v>
      </c>
      <c r="G90" s="63" t="s">
        <v>84</v>
      </c>
      <c r="H90" s="63" t="s">
        <v>300</v>
      </c>
      <c r="I90" s="63" t="s">
        <v>49</v>
      </c>
      <c r="J90" s="63" t="s">
        <v>75</v>
      </c>
      <c r="K90" s="63" t="s">
        <v>81</v>
      </c>
      <c r="L90" s="63" t="s">
        <v>101</v>
      </c>
      <c r="N90" s="38" t="str">
        <f t="shared" si="0"/>
        <v>4</v>
      </c>
      <c r="O90" s="38" t="str">
        <f t="shared" si="1"/>
        <v>3</v>
      </c>
      <c r="P90" s="37" t="str">
        <f t="shared" si="2"/>
        <v>No</v>
      </c>
      <c r="Q90" s="37" t="str">
        <f t="shared" si="3"/>
        <v>No</v>
      </c>
    </row>
    <row r="91" spans="1:17" x14ac:dyDescent="0.2">
      <c r="A91" s="63" t="s">
        <v>301</v>
      </c>
      <c r="B91" s="66">
        <v>42389</v>
      </c>
      <c r="C91" s="63" t="s">
        <v>64</v>
      </c>
      <c r="D91" s="63" t="s">
        <v>64</v>
      </c>
      <c r="E91" s="63">
        <v>2</v>
      </c>
      <c r="F91" s="63" t="s">
        <v>43</v>
      </c>
      <c r="G91" s="63" t="s">
        <v>114</v>
      </c>
      <c r="H91" s="63" t="s">
        <v>302</v>
      </c>
      <c r="I91" s="63" t="s">
        <v>72</v>
      </c>
      <c r="J91" s="63" t="s">
        <v>44</v>
      </c>
      <c r="K91" s="63" t="s">
        <v>81</v>
      </c>
      <c r="L91" s="63" t="s">
        <v>102</v>
      </c>
      <c r="N91" s="38" t="str">
        <f t="shared" si="0"/>
        <v>4</v>
      </c>
      <c r="O91" s="38" t="str">
        <f t="shared" si="1"/>
        <v>2</v>
      </c>
      <c r="P91" s="37" t="str">
        <f t="shared" si="2"/>
        <v>No</v>
      </c>
      <c r="Q91" s="37" t="str">
        <f t="shared" si="3"/>
        <v>Yes</v>
      </c>
    </row>
    <row r="92" spans="1:17" x14ac:dyDescent="0.2">
      <c r="A92" s="63" t="s">
        <v>303</v>
      </c>
      <c r="B92" s="66">
        <v>42389</v>
      </c>
      <c r="C92" s="63" t="s">
        <v>39</v>
      </c>
      <c r="D92" s="63" t="s">
        <v>39</v>
      </c>
      <c r="E92" s="63">
        <v>3</v>
      </c>
      <c r="F92" s="63" t="s">
        <v>54</v>
      </c>
      <c r="G92" s="63" t="s">
        <v>107</v>
      </c>
      <c r="H92" s="63" t="s">
        <v>304</v>
      </c>
      <c r="I92" s="63" t="s">
        <v>46</v>
      </c>
      <c r="J92" s="63" t="s">
        <v>113</v>
      </c>
      <c r="K92" s="63" t="s">
        <v>81</v>
      </c>
      <c r="L92" s="63" t="s">
        <v>101</v>
      </c>
      <c r="N92" s="38" t="str">
        <f t="shared" si="0"/>
        <v>4</v>
      </c>
      <c r="O92" s="38" t="str">
        <f t="shared" si="1"/>
        <v>3</v>
      </c>
      <c r="P92" s="37" t="str">
        <f t="shared" si="2"/>
        <v>No</v>
      </c>
      <c r="Q92" s="37" t="str">
        <f t="shared" si="3"/>
        <v>No</v>
      </c>
    </row>
    <row r="93" spans="1:17" x14ac:dyDescent="0.2">
      <c r="A93" s="63" t="s">
        <v>305</v>
      </c>
      <c r="B93" s="66">
        <v>42389</v>
      </c>
      <c r="C93" s="63" t="s">
        <v>64</v>
      </c>
      <c r="D93" s="63" t="s">
        <v>64</v>
      </c>
      <c r="E93" s="63">
        <v>3</v>
      </c>
      <c r="F93" s="63" t="s">
        <v>45</v>
      </c>
      <c r="G93" s="63" t="s">
        <v>116</v>
      </c>
      <c r="H93" s="63" t="s">
        <v>86</v>
      </c>
      <c r="I93" s="63" t="s">
        <v>49</v>
      </c>
      <c r="J93" s="63" t="s">
        <v>53</v>
      </c>
      <c r="K93" s="63" t="s">
        <v>81</v>
      </c>
      <c r="L93" s="63" t="s">
        <v>100</v>
      </c>
      <c r="N93" s="38" t="str">
        <f t="shared" ref="N93:N156" si="4">IF(LEFT($L93,21)="Priority changed from",MID($L93,23,1),"")</f>
        <v>2</v>
      </c>
      <c r="O93" s="38" t="str">
        <f t="shared" ref="O93:O156" si="5">IF(LEFT($L93,21)="Priority changed from",MID($L93,28,1),"")</f>
        <v>3</v>
      </c>
      <c r="P93" s="37" t="str">
        <f t="shared" ref="P93:P156" si="6">IFERROR(IF(E93=1,"Yes",IF(OR(VALUE(N93)=1,VALUE(O93)=1),"Yes","No")),"")</f>
        <v>No</v>
      </c>
      <c r="Q93" s="37" t="str">
        <f t="shared" ref="Q93:Q156" si="7">IFERROR(IF(P93="Yes","No",IF(E93=2,"Yes",IF(OR(VALUE(N93)=2,VALUE(O93)=2),"Yes","No"))),"")</f>
        <v>Yes</v>
      </c>
    </row>
    <row r="94" spans="1:17" x14ac:dyDescent="0.2">
      <c r="A94" s="63" t="s">
        <v>306</v>
      </c>
      <c r="B94" s="66">
        <v>42390</v>
      </c>
      <c r="C94" s="63" t="s">
        <v>64</v>
      </c>
      <c r="D94" s="63" t="s">
        <v>64</v>
      </c>
      <c r="E94" s="63">
        <v>4</v>
      </c>
      <c r="F94" s="63" t="s">
        <v>54</v>
      </c>
      <c r="G94" s="63" t="s">
        <v>63</v>
      </c>
      <c r="H94" s="63" t="s">
        <v>307</v>
      </c>
      <c r="I94" s="63" t="s">
        <v>46</v>
      </c>
      <c r="J94" s="63" t="s">
        <v>122</v>
      </c>
      <c r="K94" s="63" t="s">
        <v>81</v>
      </c>
      <c r="L94" s="63" t="s">
        <v>101</v>
      </c>
      <c r="N94" s="38" t="str">
        <f t="shared" si="4"/>
        <v>4</v>
      </c>
      <c r="O94" s="38" t="str">
        <f t="shared" si="5"/>
        <v>3</v>
      </c>
      <c r="P94" s="37" t="str">
        <f t="shared" si="6"/>
        <v>No</v>
      </c>
      <c r="Q94" s="37" t="str">
        <f t="shared" si="7"/>
        <v>No</v>
      </c>
    </row>
    <row r="95" spans="1:17" x14ac:dyDescent="0.2">
      <c r="A95" s="63" t="s">
        <v>308</v>
      </c>
      <c r="B95" s="66">
        <v>42390</v>
      </c>
      <c r="C95" s="63" t="s">
        <v>39</v>
      </c>
      <c r="D95" s="63" t="s">
        <v>39</v>
      </c>
      <c r="E95" s="63">
        <v>4</v>
      </c>
      <c r="F95" s="63" t="s">
        <v>43</v>
      </c>
      <c r="G95" s="63" t="s">
        <v>125</v>
      </c>
      <c r="H95" s="63" t="s">
        <v>309</v>
      </c>
      <c r="I95" s="63" t="s">
        <v>72</v>
      </c>
      <c r="J95" s="63" t="s">
        <v>73</v>
      </c>
      <c r="K95" s="63" t="s">
        <v>81</v>
      </c>
      <c r="L95" s="63" t="s">
        <v>101</v>
      </c>
      <c r="N95" s="38" t="str">
        <f t="shared" si="4"/>
        <v>4</v>
      </c>
      <c r="O95" s="38" t="str">
        <f t="shared" si="5"/>
        <v>3</v>
      </c>
      <c r="P95" s="37" t="str">
        <f t="shared" si="6"/>
        <v>No</v>
      </c>
      <c r="Q95" s="37" t="str">
        <f t="shared" si="7"/>
        <v>No</v>
      </c>
    </row>
    <row r="96" spans="1:17" x14ac:dyDescent="0.2">
      <c r="A96" s="63" t="s">
        <v>310</v>
      </c>
      <c r="B96" s="66">
        <v>42390</v>
      </c>
      <c r="C96" s="63" t="s">
        <v>39</v>
      </c>
      <c r="D96" s="63" t="s">
        <v>39</v>
      </c>
      <c r="E96" s="63">
        <v>4</v>
      </c>
      <c r="F96" s="63" t="s">
        <v>45</v>
      </c>
      <c r="G96" s="63" t="s">
        <v>99</v>
      </c>
      <c r="H96" s="63" t="s">
        <v>311</v>
      </c>
      <c r="I96" s="63" t="s">
        <v>49</v>
      </c>
      <c r="J96" s="63" t="s">
        <v>53</v>
      </c>
      <c r="K96" s="63" t="s">
        <v>81</v>
      </c>
      <c r="L96" s="63" t="s">
        <v>111</v>
      </c>
      <c r="N96" s="38" t="str">
        <f t="shared" si="4"/>
        <v>2</v>
      </c>
      <c r="O96" s="38" t="str">
        <f t="shared" si="5"/>
        <v>3</v>
      </c>
      <c r="P96" s="37" t="str">
        <f t="shared" si="6"/>
        <v>No</v>
      </c>
      <c r="Q96" s="37" t="str">
        <f t="shared" si="7"/>
        <v>Yes</v>
      </c>
    </row>
    <row r="97" spans="1:17" x14ac:dyDescent="0.2">
      <c r="A97" s="63" t="s">
        <v>312</v>
      </c>
      <c r="B97" s="66">
        <v>42390</v>
      </c>
      <c r="C97" s="63" t="s">
        <v>64</v>
      </c>
      <c r="D97" s="63" t="s">
        <v>64</v>
      </c>
      <c r="E97" s="63">
        <v>3</v>
      </c>
      <c r="F97" s="63" t="s">
        <v>54</v>
      </c>
      <c r="G97" s="63" t="s">
        <v>103</v>
      </c>
      <c r="H97" s="63" t="s">
        <v>313</v>
      </c>
      <c r="I97" s="63" t="s">
        <v>49</v>
      </c>
      <c r="J97" s="63" t="s">
        <v>75</v>
      </c>
      <c r="K97" s="63" t="s">
        <v>81</v>
      </c>
      <c r="L97" s="63" t="s">
        <v>111</v>
      </c>
      <c r="N97" s="38" t="str">
        <f t="shared" si="4"/>
        <v>2</v>
      </c>
      <c r="O97" s="38" t="str">
        <f t="shared" si="5"/>
        <v>3</v>
      </c>
      <c r="P97" s="37" t="str">
        <f t="shared" si="6"/>
        <v>No</v>
      </c>
      <c r="Q97" s="37" t="str">
        <f t="shared" si="7"/>
        <v>Yes</v>
      </c>
    </row>
    <row r="98" spans="1:17" x14ac:dyDescent="0.2">
      <c r="A98" s="63" t="s">
        <v>312</v>
      </c>
      <c r="B98" s="66">
        <v>42390</v>
      </c>
      <c r="C98" s="63" t="s">
        <v>64</v>
      </c>
      <c r="D98" s="63" t="s">
        <v>64</v>
      </c>
      <c r="E98" s="63">
        <v>3</v>
      </c>
      <c r="F98" s="63" t="s">
        <v>54</v>
      </c>
      <c r="G98" s="63" t="s">
        <v>103</v>
      </c>
      <c r="H98" s="63" t="s">
        <v>313</v>
      </c>
      <c r="I98" s="63" t="s">
        <v>49</v>
      </c>
      <c r="J98" s="63" t="s">
        <v>75</v>
      </c>
      <c r="K98" s="63" t="s">
        <v>81</v>
      </c>
      <c r="L98" s="63" t="s">
        <v>292</v>
      </c>
      <c r="N98" s="38" t="str">
        <f t="shared" si="4"/>
        <v>4</v>
      </c>
      <c r="O98" s="38" t="str">
        <f t="shared" si="5"/>
        <v>2</v>
      </c>
      <c r="P98" s="37" t="str">
        <f t="shared" si="6"/>
        <v>No</v>
      </c>
      <c r="Q98" s="37" t="str">
        <f t="shared" si="7"/>
        <v>Yes</v>
      </c>
    </row>
    <row r="99" spans="1:17" x14ac:dyDescent="0.2">
      <c r="A99" s="63" t="s">
        <v>314</v>
      </c>
      <c r="B99" s="66">
        <v>42390</v>
      </c>
      <c r="C99" s="63" t="s">
        <v>64</v>
      </c>
      <c r="D99" s="63" t="s">
        <v>64</v>
      </c>
      <c r="E99" s="63">
        <v>3</v>
      </c>
      <c r="F99" s="63" t="s">
        <v>45</v>
      </c>
      <c r="G99" s="63" t="s">
        <v>85</v>
      </c>
      <c r="H99" s="63" t="s">
        <v>315</v>
      </c>
      <c r="I99" s="63" t="s">
        <v>70</v>
      </c>
      <c r="J99" s="63" t="s">
        <v>131</v>
      </c>
      <c r="K99" s="63" t="s">
        <v>81</v>
      </c>
      <c r="L99" s="63" t="s">
        <v>111</v>
      </c>
      <c r="N99" s="38" t="str">
        <f t="shared" si="4"/>
        <v>2</v>
      </c>
      <c r="O99" s="38" t="str">
        <f t="shared" si="5"/>
        <v>3</v>
      </c>
      <c r="P99" s="37" t="str">
        <f t="shared" si="6"/>
        <v>No</v>
      </c>
      <c r="Q99" s="37" t="str">
        <f t="shared" si="7"/>
        <v>Yes</v>
      </c>
    </row>
    <row r="100" spans="1:17" x14ac:dyDescent="0.2">
      <c r="A100" s="63" t="s">
        <v>316</v>
      </c>
      <c r="B100" s="66">
        <v>42390</v>
      </c>
      <c r="C100" s="63" t="s">
        <v>64</v>
      </c>
      <c r="D100" s="63" t="s">
        <v>64</v>
      </c>
      <c r="E100" s="63">
        <v>3</v>
      </c>
      <c r="F100" s="63" t="s">
        <v>45</v>
      </c>
      <c r="G100" s="63" t="s">
        <v>56</v>
      </c>
      <c r="H100" s="63" t="s">
        <v>317</v>
      </c>
      <c r="I100" s="63" t="s">
        <v>72</v>
      </c>
      <c r="J100" s="63" t="s">
        <v>59</v>
      </c>
      <c r="K100" s="63" t="s">
        <v>81</v>
      </c>
      <c r="L100" s="63" t="s">
        <v>121</v>
      </c>
      <c r="N100" s="38" t="str">
        <f t="shared" si="4"/>
        <v>2</v>
      </c>
      <c r="O100" s="38" t="str">
        <f t="shared" si="5"/>
        <v>3</v>
      </c>
      <c r="P100" s="37" t="str">
        <f t="shared" si="6"/>
        <v>No</v>
      </c>
      <c r="Q100" s="37" t="str">
        <f t="shared" si="7"/>
        <v>Yes</v>
      </c>
    </row>
    <row r="101" spans="1:17" x14ac:dyDescent="0.2">
      <c r="A101" s="63" t="s">
        <v>318</v>
      </c>
      <c r="B101" s="66">
        <v>42391</v>
      </c>
      <c r="C101" s="63" t="s">
        <v>64</v>
      </c>
      <c r="D101" s="63" t="s">
        <v>64</v>
      </c>
      <c r="E101" s="63">
        <v>3</v>
      </c>
      <c r="F101" s="63" t="s">
        <v>45</v>
      </c>
      <c r="G101" s="63" t="s">
        <v>74</v>
      </c>
      <c r="H101" s="63" t="s">
        <v>319</v>
      </c>
      <c r="I101" s="63" t="s">
        <v>112</v>
      </c>
      <c r="J101" s="63" t="s">
        <v>44</v>
      </c>
      <c r="K101" s="63" t="s">
        <v>81</v>
      </c>
      <c r="L101" s="63" t="s">
        <v>320</v>
      </c>
      <c r="N101" s="38" t="str">
        <f t="shared" si="4"/>
        <v>2</v>
      </c>
      <c r="O101" s="38" t="str">
        <f t="shared" si="5"/>
        <v>3</v>
      </c>
      <c r="P101" s="37" t="str">
        <f t="shared" si="6"/>
        <v>No</v>
      </c>
      <c r="Q101" s="37" t="str">
        <f t="shared" si="7"/>
        <v>Yes</v>
      </c>
    </row>
    <row r="102" spans="1:17" x14ac:dyDescent="0.2">
      <c r="A102" s="63" t="s">
        <v>321</v>
      </c>
      <c r="B102" s="66">
        <v>42392</v>
      </c>
      <c r="C102" s="63" t="s">
        <v>39</v>
      </c>
      <c r="D102" s="63" t="s">
        <v>39</v>
      </c>
      <c r="E102" s="63">
        <v>3</v>
      </c>
      <c r="F102" s="63" t="s">
        <v>40</v>
      </c>
      <c r="G102" s="63" t="s">
        <v>67</v>
      </c>
      <c r="H102" s="63" t="s">
        <v>322</v>
      </c>
      <c r="I102" s="63" t="s">
        <v>60</v>
      </c>
      <c r="J102" s="63" t="s">
        <v>57</v>
      </c>
      <c r="K102" s="63" t="s">
        <v>81</v>
      </c>
      <c r="L102" s="63" t="s">
        <v>323</v>
      </c>
      <c r="N102" s="38" t="str">
        <f t="shared" si="4"/>
        <v>1</v>
      </c>
      <c r="O102" s="38" t="str">
        <f t="shared" si="5"/>
        <v>3</v>
      </c>
      <c r="P102" s="37" t="str">
        <f t="shared" si="6"/>
        <v>Yes</v>
      </c>
      <c r="Q102" s="37" t="str">
        <f t="shared" si="7"/>
        <v>No</v>
      </c>
    </row>
    <row r="103" spans="1:17" x14ac:dyDescent="0.2">
      <c r="A103" s="63" t="s">
        <v>324</v>
      </c>
      <c r="B103" s="66">
        <v>42392</v>
      </c>
      <c r="C103" s="63" t="s">
        <v>64</v>
      </c>
      <c r="D103" s="63" t="s">
        <v>64</v>
      </c>
      <c r="E103" s="63">
        <v>4</v>
      </c>
      <c r="F103" s="63" t="s">
        <v>45</v>
      </c>
      <c r="G103" s="63" t="s">
        <v>82</v>
      </c>
      <c r="H103" s="63" t="s">
        <v>86</v>
      </c>
      <c r="I103" s="63" t="s">
        <v>49</v>
      </c>
      <c r="J103" s="63" t="s">
        <v>53</v>
      </c>
      <c r="K103" s="63" t="s">
        <v>81</v>
      </c>
      <c r="L103" s="63" t="s">
        <v>100</v>
      </c>
      <c r="N103" s="38" t="str">
        <f t="shared" si="4"/>
        <v>2</v>
      </c>
      <c r="O103" s="38" t="str">
        <f t="shared" si="5"/>
        <v>3</v>
      </c>
      <c r="P103" s="37" t="str">
        <f t="shared" si="6"/>
        <v>No</v>
      </c>
      <c r="Q103" s="37" t="str">
        <f t="shared" si="7"/>
        <v>Yes</v>
      </c>
    </row>
    <row r="104" spans="1:17" x14ac:dyDescent="0.2">
      <c r="A104" s="63" t="s">
        <v>325</v>
      </c>
      <c r="B104" s="66">
        <v>42392</v>
      </c>
      <c r="C104" s="63" t="s">
        <v>64</v>
      </c>
      <c r="D104" s="63" t="s">
        <v>64</v>
      </c>
      <c r="E104" s="63">
        <v>3</v>
      </c>
      <c r="F104" s="63" t="s">
        <v>54</v>
      </c>
      <c r="G104" s="63" t="s">
        <v>90</v>
      </c>
      <c r="H104" s="63" t="s">
        <v>326</v>
      </c>
      <c r="I104" s="63" t="s">
        <v>49</v>
      </c>
      <c r="J104" s="63" t="s">
        <v>75</v>
      </c>
      <c r="K104" s="63" t="s">
        <v>81</v>
      </c>
      <c r="L104" s="63" t="s">
        <v>191</v>
      </c>
      <c r="N104" s="38" t="str">
        <f t="shared" si="4"/>
        <v>2</v>
      </c>
      <c r="O104" s="38" t="str">
        <f t="shared" si="5"/>
        <v>3</v>
      </c>
      <c r="P104" s="37" t="str">
        <f t="shared" si="6"/>
        <v>No</v>
      </c>
      <c r="Q104" s="37" t="str">
        <f t="shared" si="7"/>
        <v>Yes</v>
      </c>
    </row>
    <row r="105" spans="1:17" x14ac:dyDescent="0.2">
      <c r="A105" s="63" t="s">
        <v>325</v>
      </c>
      <c r="B105" s="66">
        <v>42392</v>
      </c>
      <c r="C105" s="63" t="s">
        <v>64</v>
      </c>
      <c r="D105" s="63" t="s">
        <v>64</v>
      </c>
      <c r="E105" s="63">
        <v>3</v>
      </c>
      <c r="F105" s="63" t="s">
        <v>54</v>
      </c>
      <c r="G105" s="63" t="s">
        <v>90</v>
      </c>
      <c r="H105" s="63" t="s">
        <v>326</v>
      </c>
      <c r="I105" s="63" t="s">
        <v>49</v>
      </c>
      <c r="J105" s="63" t="s">
        <v>75</v>
      </c>
      <c r="K105" s="63" t="s">
        <v>81</v>
      </c>
      <c r="L105" s="63" t="s">
        <v>327</v>
      </c>
      <c r="N105" s="38" t="str">
        <f t="shared" si="4"/>
        <v>1</v>
      </c>
      <c r="O105" s="38" t="str">
        <f t="shared" si="5"/>
        <v>2</v>
      </c>
      <c r="P105" s="37" t="str">
        <f t="shared" si="6"/>
        <v>Yes</v>
      </c>
      <c r="Q105" s="37" t="str">
        <f t="shared" si="7"/>
        <v>No</v>
      </c>
    </row>
    <row r="106" spans="1:17" x14ac:dyDescent="0.2">
      <c r="A106" s="63" t="s">
        <v>325</v>
      </c>
      <c r="B106" s="66">
        <v>42392</v>
      </c>
      <c r="C106" s="63" t="s">
        <v>64</v>
      </c>
      <c r="D106" s="63" t="s">
        <v>64</v>
      </c>
      <c r="E106" s="63">
        <v>3</v>
      </c>
      <c r="F106" s="63" t="s">
        <v>54</v>
      </c>
      <c r="G106" s="63" t="s">
        <v>90</v>
      </c>
      <c r="H106" s="63" t="s">
        <v>326</v>
      </c>
      <c r="I106" s="63" t="s">
        <v>49</v>
      </c>
      <c r="J106" s="63" t="s">
        <v>75</v>
      </c>
      <c r="K106" s="63" t="s">
        <v>81</v>
      </c>
      <c r="L106" s="63" t="s">
        <v>105</v>
      </c>
      <c r="N106" s="38" t="str">
        <f t="shared" si="4"/>
        <v>2</v>
      </c>
      <c r="O106" s="38" t="str">
        <f t="shared" si="5"/>
        <v>1</v>
      </c>
      <c r="P106" s="37" t="str">
        <f t="shared" si="6"/>
        <v>Yes</v>
      </c>
      <c r="Q106" s="37" t="str">
        <f t="shared" si="7"/>
        <v>No</v>
      </c>
    </row>
    <row r="107" spans="1:17" x14ac:dyDescent="0.2">
      <c r="A107" s="63" t="s">
        <v>328</v>
      </c>
      <c r="B107" s="66">
        <v>42393</v>
      </c>
      <c r="C107" s="63" t="s">
        <v>64</v>
      </c>
      <c r="D107" s="63" t="s">
        <v>64</v>
      </c>
      <c r="E107" s="63">
        <v>3</v>
      </c>
      <c r="F107" s="63" t="s">
        <v>40</v>
      </c>
      <c r="G107" s="63" t="s">
        <v>104</v>
      </c>
      <c r="H107" s="63" t="s">
        <v>187</v>
      </c>
      <c r="I107" s="63" t="s">
        <v>51</v>
      </c>
      <c r="J107" s="63" t="s">
        <v>52</v>
      </c>
      <c r="K107" s="63" t="s">
        <v>81</v>
      </c>
      <c r="L107" s="63" t="s">
        <v>101</v>
      </c>
      <c r="N107" s="38" t="str">
        <f t="shared" si="4"/>
        <v>4</v>
      </c>
      <c r="O107" s="38" t="str">
        <f t="shared" si="5"/>
        <v>3</v>
      </c>
      <c r="P107" s="37" t="str">
        <f t="shared" si="6"/>
        <v>No</v>
      </c>
      <c r="Q107" s="37" t="str">
        <f t="shared" si="7"/>
        <v>No</v>
      </c>
    </row>
    <row r="108" spans="1:17" x14ac:dyDescent="0.2">
      <c r="A108" s="63" t="s">
        <v>329</v>
      </c>
      <c r="B108" s="66">
        <v>42393</v>
      </c>
      <c r="C108" s="63" t="s">
        <v>64</v>
      </c>
      <c r="D108" s="63" t="s">
        <v>64</v>
      </c>
      <c r="E108" s="63">
        <v>3</v>
      </c>
      <c r="F108" s="63" t="s">
        <v>40</v>
      </c>
      <c r="G108" s="63" t="s">
        <v>41</v>
      </c>
      <c r="H108" s="63" t="s">
        <v>330</v>
      </c>
      <c r="I108" s="63" t="s">
        <v>70</v>
      </c>
      <c r="J108" s="63" t="s">
        <v>117</v>
      </c>
      <c r="K108" s="63" t="s">
        <v>81</v>
      </c>
      <c r="L108" s="63" t="s">
        <v>183</v>
      </c>
      <c r="N108" s="38" t="str">
        <f t="shared" si="4"/>
        <v>1</v>
      </c>
      <c r="O108" s="38" t="str">
        <f t="shared" si="5"/>
        <v>3</v>
      </c>
      <c r="P108" s="37" t="str">
        <f t="shared" si="6"/>
        <v>Yes</v>
      </c>
      <c r="Q108" s="37" t="str">
        <f t="shared" si="7"/>
        <v>No</v>
      </c>
    </row>
    <row r="109" spans="1:17" x14ac:dyDescent="0.2">
      <c r="A109" s="63" t="s">
        <v>331</v>
      </c>
      <c r="B109" s="66">
        <v>42394</v>
      </c>
      <c r="C109" s="63" t="s">
        <v>64</v>
      </c>
      <c r="D109" s="63" t="s">
        <v>64</v>
      </c>
      <c r="E109" s="63">
        <v>4</v>
      </c>
      <c r="F109" s="63" t="s">
        <v>43</v>
      </c>
      <c r="G109" s="63" t="s">
        <v>65</v>
      </c>
      <c r="H109" s="63" t="s">
        <v>86</v>
      </c>
      <c r="I109" s="63" t="s">
        <v>72</v>
      </c>
      <c r="J109" s="63" t="s">
        <v>59</v>
      </c>
      <c r="K109" s="63" t="s">
        <v>81</v>
      </c>
      <c r="L109" s="63" t="s">
        <v>95</v>
      </c>
      <c r="N109" s="38" t="str">
        <f t="shared" si="4"/>
        <v>2</v>
      </c>
      <c r="O109" s="38" t="str">
        <f t="shared" si="5"/>
        <v>3</v>
      </c>
      <c r="P109" s="37" t="str">
        <f t="shared" si="6"/>
        <v>No</v>
      </c>
      <c r="Q109" s="37" t="str">
        <f t="shared" si="7"/>
        <v>Yes</v>
      </c>
    </row>
    <row r="110" spans="1:17" x14ac:dyDescent="0.2">
      <c r="A110" s="63" t="s">
        <v>332</v>
      </c>
      <c r="B110" s="66">
        <v>42394</v>
      </c>
      <c r="C110" s="63" t="s">
        <v>64</v>
      </c>
      <c r="D110" s="63" t="s">
        <v>64</v>
      </c>
      <c r="E110" s="63">
        <v>3</v>
      </c>
      <c r="F110" s="63" t="s">
        <v>45</v>
      </c>
      <c r="G110" s="63" t="s">
        <v>56</v>
      </c>
      <c r="H110" s="63" t="s">
        <v>333</v>
      </c>
      <c r="I110" s="63" t="s">
        <v>60</v>
      </c>
      <c r="J110" s="63" t="s">
        <v>57</v>
      </c>
      <c r="K110" s="63" t="s">
        <v>81</v>
      </c>
      <c r="L110" s="63" t="s">
        <v>121</v>
      </c>
      <c r="N110" s="38" t="str">
        <f t="shared" si="4"/>
        <v>2</v>
      </c>
      <c r="O110" s="38" t="str">
        <f t="shared" si="5"/>
        <v>3</v>
      </c>
      <c r="P110" s="37" t="str">
        <f t="shared" si="6"/>
        <v>No</v>
      </c>
      <c r="Q110" s="37" t="str">
        <f t="shared" si="7"/>
        <v>Yes</v>
      </c>
    </row>
    <row r="111" spans="1:17" x14ac:dyDescent="0.2">
      <c r="A111" s="63" t="s">
        <v>334</v>
      </c>
      <c r="B111" s="66">
        <v>42394</v>
      </c>
      <c r="C111" s="63" t="s">
        <v>64</v>
      </c>
      <c r="D111" s="63" t="s">
        <v>64</v>
      </c>
      <c r="E111" s="63">
        <v>3</v>
      </c>
      <c r="F111" s="63" t="s">
        <v>40</v>
      </c>
      <c r="G111" s="63" t="s">
        <v>67</v>
      </c>
      <c r="H111" s="63" t="s">
        <v>335</v>
      </c>
      <c r="I111" s="63" t="s">
        <v>60</v>
      </c>
      <c r="J111" s="63" t="s">
        <v>57</v>
      </c>
      <c r="K111" s="63" t="s">
        <v>81</v>
      </c>
      <c r="L111" s="63" t="s">
        <v>111</v>
      </c>
      <c r="N111" s="38" t="str">
        <f t="shared" si="4"/>
        <v>2</v>
      </c>
      <c r="O111" s="38" t="str">
        <f t="shared" si="5"/>
        <v>3</v>
      </c>
      <c r="P111" s="37" t="str">
        <f t="shared" si="6"/>
        <v>No</v>
      </c>
      <c r="Q111" s="37" t="str">
        <f t="shared" si="7"/>
        <v>Yes</v>
      </c>
    </row>
    <row r="112" spans="1:17" x14ac:dyDescent="0.2">
      <c r="A112" s="63" t="s">
        <v>336</v>
      </c>
      <c r="B112" s="66">
        <v>42395</v>
      </c>
      <c r="C112" s="63" t="s">
        <v>64</v>
      </c>
      <c r="D112" s="63" t="s">
        <v>64</v>
      </c>
      <c r="E112" s="63">
        <v>3</v>
      </c>
      <c r="F112" s="63" t="s">
        <v>45</v>
      </c>
      <c r="G112" s="63" t="s">
        <v>119</v>
      </c>
      <c r="H112" s="63" t="s">
        <v>337</v>
      </c>
      <c r="I112" s="63" t="s">
        <v>70</v>
      </c>
      <c r="J112" s="63" t="s">
        <v>131</v>
      </c>
      <c r="K112" s="63" t="s">
        <v>81</v>
      </c>
      <c r="L112" s="63" t="s">
        <v>111</v>
      </c>
      <c r="N112" s="38" t="str">
        <f t="shared" si="4"/>
        <v>2</v>
      </c>
      <c r="O112" s="38" t="str">
        <f t="shared" si="5"/>
        <v>3</v>
      </c>
      <c r="P112" s="37" t="str">
        <f t="shared" si="6"/>
        <v>No</v>
      </c>
      <c r="Q112" s="37" t="str">
        <f t="shared" si="7"/>
        <v>Yes</v>
      </c>
    </row>
    <row r="113" spans="1:17" x14ac:dyDescent="0.2">
      <c r="A113" s="63" t="s">
        <v>338</v>
      </c>
      <c r="B113" s="66">
        <v>42395</v>
      </c>
      <c r="C113" s="63" t="s">
        <v>97</v>
      </c>
      <c r="D113" s="63" t="s">
        <v>96</v>
      </c>
      <c r="E113" s="63">
        <v>4</v>
      </c>
      <c r="F113" s="63" t="s">
        <v>54</v>
      </c>
      <c r="G113" s="63" t="s">
        <v>103</v>
      </c>
      <c r="H113" s="63" t="s">
        <v>339</v>
      </c>
      <c r="I113" s="63"/>
      <c r="J113" s="63"/>
      <c r="K113" s="63" t="s">
        <v>81</v>
      </c>
      <c r="L113" s="63" t="s">
        <v>184</v>
      </c>
      <c r="N113" s="38" t="str">
        <f t="shared" si="4"/>
        <v>1</v>
      </c>
      <c r="O113" s="38" t="str">
        <f t="shared" si="5"/>
        <v>3</v>
      </c>
      <c r="P113" s="37" t="str">
        <f t="shared" si="6"/>
        <v>Yes</v>
      </c>
      <c r="Q113" s="37" t="str">
        <f t="shared" si="7"/>
        <v>No</v>
      </c>
    </row>
    <row r="114" spans="1:17" x14ac:dyDescent="0.2">
      <c r="A114" s="63" t="s">
        <v>340</v>
      </c>
      <c r="B114" s="66">
        <v>42395</v>
      </c>
      <c r="C114" s="63" t="s">
        <v>39</v>
      </c>
      <c r="D114" s="63" t="s">
        <v>39</v>
      </c>
      <c r="E114" s="63">
        <v>3</v>
      </c>
      <c r="F114" s="63" t="s">
        <v>42</v>
      </c>
      <c r="G114" s="63" t="s">
        <v>98</v>
      </c>
      <c r="H114" s="63" t="s">
        <v>341</v>
      </c>
      <c r="I114" s="63" t="s">
        <v>93</v>
      </c>
      <c r="J114" s="63" t="s">
        <v>92</v>
      </c>
      <c r="K114" s="63" t="s">
        <v>81</v>
      </c>
      <c r="L114" s="63" t="s">
        <v>101</v>
      </c>
      <c r="N114" s="38" t="str">
        <f t="shared" si="4"/>
        <v>4</v>
      </c>
      <c r="O114" s="38" t="str">
        <f t="shared" si="5"/>
        <v>3</v>
      </c>
      <c r="P114" s="37" t="str">
        <f t="shared" si="6"/>
        <v>No</v>
      </c>
      <c r="Q114" s="37" t="str">
        <f t="shared" si="7"/>
        <v>No</v>
      </c>
    </row>
    <row r="115" spans="1:17" x14ac:dyDescent="0.2">
      <c r="A115" s="63" t="s">
        <v>342</v>
      </c>
      <c r="B115" s="66">
        <v>42395</v>
      </c>
      <c r="C115" s="63" t="s">
        <v>64</v>
      </c>
      <c r="D115" s="63" t="s">
        <v>64</v>
      </c>
      <c r="E115" s="63">
        <v>3</v>
      </c>
      <c r="F115" s="63" t="s">
        <v>45</v>
      </c>
      <c r="G115" s="63" t="s">
        <v>74</v>
      </c>
      <c r="H115" s="63" t="s">
        <v>86</v>
      </c>
      <c r="I115" s="63" t="s">
        <v>49</v>
      </c>
      <c r="J115" s="63" t="s">
        <v>53</v>
      </c>
      <c r="K115" s="63" t="s">
        <v>81</v>
      </c>
      <c r="L115" s="63" t="s">
        <v>118</v>
      </c>
      <c r="N115" s="38" t="str">
        <f t="shared" si="4"/>
        <v>2</v>
      </c>
      <c r="O115" s="38" t="str">
        <f t="shared" si="5"/>
        <v>3</v>
      </c>
      <c r="P115" s="37" t="str">
        <f t="shared" si="6"/>
        <v>No</v>
      </c>
      <c r="Q115" s="37" t="str">
        <f t="shared" si="7"/>
        <v>Yes</v>
      </c>
    </row>
    <row r="116" spans="1:17" x14ac:dyDescent="0.2">
      <c r="A116" s="63" t="s">
        <v>343</v>
      </c>
      <c r="B116" s="66">
        <v>42395</v>
      </c>
      <c r="C116" s="63" t="s">
        <v>39</v>
      </c>
      <c r="D116" s="63" t="s">
        <v>39</v>
      </c>
      <c r="E116" s="63">
        <v>4</v>
      </c>
      <c r="F116" s="63" t="s">
        <v>45</v>
      </c>
      <c r="G116" s="63" t="s">
        <v>99</v>
      </c>
      <c r="H116" s="63" t="s">
        <v>86</v>
      </c>
      <c r="I116" s="63" t="s">
        <v>49</v>
      </c>
      <c r="J116" s="63" t="s">
        <v>53</v>
      </c>
      <c r="K116" s="63" t="s">
        <v>81</v>
      </c>
      <c r="L116" s="63" t="s">
        <v>100</v>
      </c>
      <c r="N116" s="38" t="str">
        <f t="shared" si="4"/>
        <v>2</v>
      </c>
      <c r="O116" s="38" t="str">
        <f t="shared" si="5"/>
        <v>3</v>
      </c>
      <c r="P116" s="37" t="str">
        <f t="shared" si="6"/>
        <v>No</v>
      </c>
      <c r="Q116" s="37" t="str">
        <f t="shared" si="7"/>
        <v>Yes</v>
      </c>
    </row>
    <row r="117" spans="1:17" x14ac:dyDescent="0.2">
      <c r="A117" s="63" t="s">
        <v>344</v>
      </c>
      <c r="B117" s="66">
        <v>42395</v>
      </c>
      <c r="C117" s="63" t="s">
        <v>64</v>
      </c>
      <c r="D117" s="63" t="s">
        <v>64</v>
      </c>
      <c r="E117" s="63">
        <v>4</v>
      </c>
      <c r="F117" s="63" t="s">
        <v>45</v>
      </c>
      <c r="G117" s="63" t="s">
        <v>82</v>
      </c>
      <c r="H117" s="63" t="s">
        <v>345</v>
      </c>
      <c r="I117" s="63" t="s">
        <v>49</v>
      </c>
      <c r="J117" s="63" t="s">
        <v>53</v>
      </c>
      <c r="K117" s="63" t="s">
        <v>81</v>
      </c>
      <c r="L117" s="63" t="s">
        <v>111</v>
      </c>
      <c r="N117" s="38" t="str">
        <f t="shared" si="4"/>
        <v>2</v>
      </c>
      <c r="O117" s="38" t="str">
        <f t="shared" si="5"/>
        <v>3</v>
      </c>
      <c r="P117" s="37" t="str">
        <f t="shared" si="6"/>
        <v>No</v>
      </c>
      <c r="Q117" s="37" t="str">
        <f t="shared" si="7"/>
        <v>Yes</v>
      </c>
    </row>
    <row r="118" spans="1:17" x14ac:dyDescent="0.2">
      <c r="A118" s="63" t="s">
        <v>346</v>
      </c>
      <c r="B118" s="66">
        <v>42397</v>
      </c>
      <c r="C118" s="63" t="s">
        <v>64</v>
      </c>
      <c r="D118" s="63" t="s">
        <v>64</v>
      </c>
      <c r="E118" s="63">
        <v>3</v>
      </c>
      <c r="F118" s="63" t="s">
        <v>40</v>
      </c>
      <c r="G118" s="63" t="s">
        <v>347</v>
      </c>
      <c r="H118" s="63" t="s">
        <v>348</v>
      </c>
      <c r="I118" s="63" t="s">
        <v>52</v>
      </c>
      <c r="J118" s="63" t="s">
        <v>66</v>
      </c>
      <c r="K118" s="63" t="s">
        <v>81</v>
      </c>
      <c r="L118" s="63" t="s">
        <v>183</v>
      </c>
      <c r="N118" s="38" t="str">
        <f t="shared" si="4"/>
        <v>1</v>
      </c>
      <c r="O118" s="38" t="str">
        <f t="shared" si="5"/>
        <v>3</v>
      </c>
      <c r="P118" s="37" t="str">
        <f t="shared" si="6"/>
        <v>Yes</v>
      </c>
      <c r="Q118" s="37" t="str">
        <f t="shared" si="7"/>
        <v>No</v>
      </c>
    </row>
    <row r="119" spans="1:17" x14ac:dyDescent="0.2">
      <c r="A119" s="63" t="s">
        <v>349</v>
      </c>
      <c r="B119" s="66">
        <v>42397</v>
      </c>
      <c r="C119" s="63" t="s">
        <v>64</v>
      </c>
      <c r="D119" s="63" t="s">
        <v>64</v>
      </c>
      <c r="E119" s="63">
        <v>3</v>
      </c>
      <c r="F119" s="63" t="s">
        <v>40</v>
      </c>
      <c r="G119" s="63" t="s">
        <v>120</v>
      </c>
      <c r="H119" s="63" t="s">
        <v>350</v>
      </c>
      <c r="I119" s="63" t="s">
        <v>51</v>
      </c>
      <c r="J119" s="63" t="s">
        <v>127</v>
      </c>
      <c r="K119" s="63" t="s">
        <v>81</v>
      </c>
      <c r="L119" s="63" t="s">
        <v>95</v>
      </c>
      <c r="N119" s="38" t="str">
        <f t="shared" si="4"/>
        <v>2</v>
      </c>
      <c r="O119" s="38" t="str">
        <f t="shared" si="5"/>
        <v>3</v>
      </c>
      <c r="P119" s="37" t="str">
        <f t="shared" si="6"/>
        <v>No</v>
      </c>
      <c r="Q119" s="37" t="str">
        <f t="shared" si="7"/>
        <v>Yes</v>
      </c>
    </row>
    <row r="120" spans="1:17" x14ac:dyDescent="0.2">
      <c r="A120" s="63" t="s">
        <v>349</v>
      </c>
      <c r="B120" s="66">
        <v>42397</v>
      </c>
      <c r="C120" s="63" t="s">
        <v>64</v>
      </c>
      <c r="D120" s="63" t="s">
        <v>64</v>
      </c>
      <c r="E120" s="63">
        <v>3</v>
      </c>
      <c r="F120" s="63" t="s">
        <v>40</v>
      </c>
      <c r="G120" s="63" t="s">
        <v>120</v>
      </c>
      <c r="H120" s="63" t="s">
        <v>350</v>
      </c>
      <c r="I120" s="63" t="s">
        <v>51</v>
      </c>
      <c r="J120" s="63" t="s">
        <v>127</v>
      </c>
      <c r="K120" s="63" t="s">
        <v>81</v>
      </c>
      <c r="L120" s="63" t="s">
        <v>108</v>
      </c>
      <c r="N120" s="38" t="str">
        <f t="shared" si="4"/>
        <v>1</v>
      </c>
      <c r="O120" s="38" t="str">
        <f t="shared" si="5"/>
        <v>2</v>
      </c>
      <c r="P120" s="37" t="str">
        <f t="shared" si="6"/>
        <v>Yes</v>
      </c>
      <c r="Q120" s="37" t="str">
        <f t="shared" si="7"/>
        <v>No</v>
      </c>
    </row>
    <row r="121" spans="1:17" x14ac:dyDescent="0.2">
      <c r="A121" s="63" t="s">
        <v>349</v>
      </c>
      <c r="B121" s="66">
        <v>42397</v>
      </c>
      <c r="C121" s="63" t="s">
        <v>64</v>
      </c>
      <c r="D121" s="63" t="s">
        <v>64</v>
      </c>
      <c r="E121" s="63">
        <v>3</v>
      </c>
      <c r="F121" s="63" t="s">
        <v>40</v>
      </c>
      <c r="G121" s="63" t="s">
        <v>120</v>
      </c>
      <c r="H121" s="63" t="s">
        <v>350</v>
      </c>
      <c r="I121" s="63" t="s">
        <v>51</v>
      </c>
      <c r="J121" s="63" t="s">
        <v>127</v>
      </c>
      <c r="K121" s="63" t="s">
        <v>81</v>
      </c>
      <c r="L121" s="63" t="s">
        <v>351</v>
      </c>
      <c r="N121" s="38" t="str">
        <f t="shared" si="4"/>
        <v>3</v>
      </c>
      <c r="O121" s="38" t="str">
        <f t="shared" si="5"/>
        <v>1</v>
      </c>
      <c r="P121" s="37" t="str">
        <f t="shared" si="6"/>
        <v>Yes</v>
      </c>
      <c r="Q121" s="37" t="str">
        <f t="shared" si="7"/>
        <v>No</v>
      </c>
    </row>
    <row r="122" spans="1:17" x14ac:dyDescent="0.2">
      <c r="A122" s="63" t="s">
        <v>352</v>
      </c>
      <c r="B122" s="66">
        <v>42397</v>
      </c>
      <c r="C122" s="63" t="s">
        <v>64</v>
      </c>
      <c r="D122" s="63" t="s">
        <v>64</v>
      </c>
      <c r="E122" s="63">
        <v>3</v>
      </c>
      <c r="F122" s="63" t="s">
        <v>45</v>
      </c>
      <c r="G122" s="63" t="s">
        <v>119</v>
      </c>
      <c r="H122" s="63" t="s">
        <v>353</v>
      </c>
      <c r="I122" s="63" t="s">
        <v>49</v>
      </c>
      <c r="J122" s="63" t="s">
        <v>53</v>
      </c>
      <c r="K122" s="63" t="s">
        <v>81</v>
      </c>
      <c r="L122" s="63" t="s">
        <v>118</v>
      </c>
      <c r="N122" s="38" t="str">
        <f t="shared" si="4"/>
        <v>2</v>
      </c>
      <c r="O122" s="38" t="str">
        <f t="shared" si="5"/>
        <v>3</v>
      </c>
      <c r="P122" s="37" t="str">
        <f t="shared" si="6"/>
        <v>No</v>
      </c>
      <c r="Q122" s="37" t="str">
        <f t="shared" si="7"/>
        <v>Yes</v>
      </c>
    </row>
    <row r="123" spans="1:17" x14ac:dyDescent="0.2">
      <c r="A123" s="63" t="s">
        <v>354</v>
      </c>
      <c r="B123" s="66">
        <v>42398</v>
      </c>
      <c r="C123" s="63" t="s">
        <v>64</v>
      </c>
      <c r="D123" s="63" t="s">
        <v>64</v>
      </c>
      <c r="E123" s="63">
        <v>3</v>
      </c>
      <c r="F123" s="63" t="s">
        <v>45</v>
      </c>
      <c r="G123" s="63" t="s">
        <v>99</v>
      </c>
      <c r="H123" s="63" t="s">
        <v>355</v>
      </c>
      <c r="I123" s="63" t="s">
        <v>49</v>
      </c>
      <c r="J123" s="63" t="s">
        <v>53</v>
      </c>
      <c r="K123" s="63" t="s">
        <v>81</v>
      </c>
      <c r="L123" s="63" t="s">
        <v>111</v>
      </c>
      <c r="N123" s="38" t="str">
        <f t="shared" si="4"/>
        <v>2</v>
      </c>
      <c r="O123" s="38" t="str">
        <f t="shared" si="5"/>
        <v>3</v>
      </c>
      <c r="P123" s="37" t="str">
        <f t="shared" si="6"/>
        <v>No</v>
      </c>
      <c r="Q123" s="37" t="str">
        <f t="shared" si="7"/>
        <v>Yes</v>
      </c>
    </row>
    <row r="124" spans="1:17" x14ac:dyDescent="0.2">
      <c r="A124" s="63" t="s">
        <v>356</v>
      </c>
      <c r="B124" s="66">
        <v>42398</v>
      </c>
      <c r="C124" s="63" t="s">
        <v>64</v>
      </c>
      <c r="D124" s="63" t="s">
        <v>64</v>
      </c>
      <c r="E124" s="63">
        <v>4</v>
      </c>
      <c r="F124" s="63" t="s">
        <v>43</v>
      </c>
      <c r="G124" s="63" t="s">
        <v>65</v>
      </c>
      <c r="H124" s="63" t="s">
        <v>357</v>
      </c>
      <c r="I124" s="63" t="s">
        <v>72</v>
      </c>
      <c r="J124" s="63" t="s">
        <v>59</v>
      </c>
      <c r="K124" s="63" t="s">
        <v>81</v>
      </c>
      <c r="L124" s="63" t="s">
        <v>106</v>
      </c>
      <c r="N124" s="38" t="str">
        <f t="shared" si="4"/>
        <v>1</v>
      </c>
      <c r="O124" s="38" t="str">
        <f t="shared" si="5"/>
        <v>3</v>
      </c>
      <c r="P124" s="37" t="str">
        <f t="shared" si="6"/>
        <v>Yes</v>
      </c>
      <c r="Q124" s="37" t="str">
        <f t="shared" si="7"/>
        <v>No</v>
      </c>
    </row>
    <row r="125" spans="1:17" x14ac:dyDescent="0.2">
      <c r="A125" s="63" t="s">
        <v>358</v>
      </c>
      <c r="B125" s="66">
        <v>42398</v>
      </c>
      <c r="C125" s="63" t="s">
        <v>64</v>
      </c>
      <c r="D125" s="63" t="s">
        <v>64</v>
      </c>
      <c r="E125" s="63">
        <v>3</v>
      </c>
      <c r="F125" s="63" t="s">
        <v>40</v>
      </c>
      <c r="G125" s="63" t="s">
        <v>186</v>
      </c>
      <c r="H125" s="63" t="s">
        <v>359</v>
      </c>
      <c r="I125" s="63" t="s">
        <v>52</v>
      </c>
      <c r="J125" s="63" t="s">
        <v>53</v>
      </c>
      <c r="K125" s="63" t="s">
        <v>81</v>
      </c>
      <c r="L125" s="63" t="s">
        <v>95</v>
      </c>
      <c r="N125" s="38" t="str">
        <f t="shared" si="4"/>
        <v>2</v>
      </c>
      <c r="O125" s="38" t="str">
        <f t="shared" si="5"/>
        <v>3</v>
      </c>
      <c r="P125" s="37" t="str">
        <f t="shared" si="6"/>
        <v>No</v>
      </c>
      <c r="Q125" s="37" t="str">
        <f t="shared" si="7"/>
        <v>Yes</v>
      </c>
    </row>
    <row r="126" spans="1:17" x14ac:dyDescent="0.2">
      <c r="A126" s="63" t="s">
        <v>358</v>
      </c>
      <c r="B126" s="66">
        <v>42398</v>
      </c>
      <c r="C126" s="63" t="s">
        <v>64</v>
      </c>
      <c r="D126" s="63" t="s">
        <v>64</v>
      </c>
      <c r="E126" s="63">
        <v>3</v>
      </c>
      <c r="F126" s="63" t="s">
        <v>40</v>
      </c>
      <c r="G126" s="63" t="s">
        <v>186</v>
      </c>
      <c r="H126" s="63" t="s">
        <v>359</v>
      </c>
      <c r="I126" s="63" t="s">
        <v>52</v>
      </c>
      <c r="J126" s="63" t="s">
        <v>53</v>
      </c>
      <c r="K126" s="63" t="s">
        <v>81</v>
      </c>
      <c r="L126" s="63" t="s">
        <v>124</v>
      </c>
      <c r="N126" s="38" t="str">
        <f t="shared" si="4"/>
        <v>1</v>
      </c>
      <c r="O126" s="38" t="str">
        <f t="shared" si="5"/>
        <v>2</v>
      </c>
      <c r="P126" s="37" t="str">
        <f t="shared" si="6"/>
        <v>Yes</v>
      </c>
      <c r="Q126" s="37" t="str">
        <f t="shared" si="7"/>
        <v>No</v>
      </c>
    </row>
    <row r="127" spans="1:17" x14ac:dyDescent="0.2">
      <c r="A127" s="63" t="s">
        <v>360</v>
      </c>
      <c r="B127" s="66">
        <v>42399</v>
      </c>
      <c r="C127" s="63" t="s">
        <v>64</v>
      </c>
      <c r="D127" s="63" t="s">
        <v>64</v>
      </c>
      <c r="E127" s="63">
        <v>3</v>
      </c>
      <c r="F127" s="63" t="s">
        <v>40</v>
      </c>
      <c r="G127" s="63" t="s">
        <v>186</v>
      </c>
      <c r="H127" s="63" t="s">
        <v>361</v>
      </c>
      <c r="I127" s="63" t="s">
        <v>72</v>
      </c>
      <c r="J127" s="63" t="s">
        <v>73</v>
      </c>
      <c r="K127" s="63" t="s">
        <v>81</v>
      </c>
      <c r="L127" s="63" t="s">
        <v>111</v>
      </c>
      <c r="N127" s="38" t="str">
        <f t="shared" si="4"/>
        <v>2</v>
      </c>
      <c r="O127" s="38" t="str">
        <f t="shared" si="5"/>
        <v>3</v>
      </c>
      <c r="P127" s="37" t="str">
        <f t="shared" si="6"/>
        <v>No</v>
      </c>
      <c r="Q127" s="37" t="str">
        <f t="shared" si="7"/>
        <v>Yes</v>
      </c>
    </row>
    <row r="128" spans="1:17" x14ac:dyDescent="0.2">
      <c r="A128" s="63" t="s">
        <v>362</v>
      </c>
      <c r="B128" s="66">
        <v>42399</v>
      </c>
      <c r="C128" s="63" t="s">
        <v>64</v>
      </c>
      <c r="D128" s="63" t="s">
        <v>64</v>
      </c>
      <c r="E128" s="63">
        <v>3</v>
      </c>
      <c r="F128" s="63" t="s">
        <v>40</v>
      </c>
      <c r="G128" s="63" t="s">
        <v>130</v>
      </c>
      <c r="H128" s="63" t="s">
        <v>363</v>
      </c>
      <c r="I128" s="63" t="s">
        <v>52</v>
      </c>
      <c r="J128" s="63" t="s">
        <v>53</v>
      </c>
      <c r="K128" s="63" t="s">
        <v>81</v>
      </c>
      <c r="L128" s="63" t="s">
        <v>179</v>
      </c>
      <c r="N128" s="38" t="str">
        <f t="shared" si="4"/>
        <v>1</v>
      </c>
      <c r="O128" s="38" t="str">
        <f t="shared" si="5"/>
        <v>3</v>
      </c>
      <c r="P128" s="37" t="str">
        <f t="shared" si="6"/>
        <v>Yes</v>
      </c>
      <c r="Q128" s="37" t="str">
        <f t="shared" si="7"/>
        <v>No</v>
      </c>
    </row>
    <row r="129" spans="1:17" x14ac:dyDescent="0.2">
      <c r="A129" s="63" t="s">
        <v>364</v>
      </c>
      <c r="B129" s="66">
        <v>42399</v>
      </c>
      <c r="C129" s="63" t="s">
        <v>97</v>
      </c>
      <c r="D129" s="63" t="s">
        <v>96</v>
      </c>
      <c r="E129" s="63">
        <v>4</v>
      </c>
      <c r="F129" s="63" t="s">
        <v>54</v>
      </c>
      <c r="G129" s="63" t="s">
        <v>84</v>
      </c>
      <c r="H129" s="63" t="s">
        <v>365</v>
      </c>
      <c r="I129" s="63"/>
      <c r="J129" s="63"/>
      <c r="K129" s="63" t="s">
        <v>81</v>
      </c>
      <c r="L129" s="63" t="s">
        <v>111</v>
      </c>
      <c r="N129" s="38" t="str">
        <f t="shared" si="4"/>
        <v>2</v>
      </c>
      <c r="O129" s="38" t="str">
        <f t="shared" si="5"/>
        <v>3</v>
      </c>
      <c r="P129" s="37" t="str">
        <f t="shared" si="6"/>
        <v>No</v>
      </c>
      <c r="Q129" s="37" t="str">
        <f t="shared" si="7"/>
        <v>Yes</v>
      </c>
    </row>
    <row r="130" spans="1:17" x14ac:dyDescent="0.2">
      <c r="A130" s="63" t="s">
        <v>366</v>
      </c>
      <c r="B130" s="66">
        <v>42399</v>
      </c>
      <c r="C130" s="63" t="s">
        <v>97</v>
      </c>
      <c r="D130" s="63" t="s">
        <v>96</v>
      </c>
      <c r="E130" s="63">
        <v>4</v>
      </c>
      <c r="F130" s="63" t="s">
        <v>54</v>
      </c>
      <c r="G130" s="63" t="s">
        <v>84</v>
      </c>
      <c r="H130" s="63" t="s">
        <v>367</v>
      </c>
      <c r="I130" s="63"/>
      <c r="J130" s="63"/>
      <c r="K130" s="63" t="s">
        <v>81</v>
      </c>
      <c r="L130" s="63" t="s">
        <v>111</v>
      </c>
      <c r="N130" s="38" t="str">
        <f t="shared" si="4"/>
        <v>2</v>
      </c>
      <c r="O130" s="38" t="str">
        <f t="shared" si="5"/>
        <v>3</v>
      </c>
      <c r="P130" s="37" t="str">
        <f t="shared" si="6"/>
        <v>No</v>
      </c>
      <c r="Q130" s="37" t="str">
        <f t="shared" si="7"/>
        <v>Yes</v>
      </c>
    </row>
    <row r="131" spans="1:17" x14ac:dyDescent="0.2">
      <c r="A131" s="63" t="s">
        <v>368</v>
      </c>
      <c r="B131" s="66">
        <v>42399</v>
      </c>
      <c r="C131" s="63" t="s">
        <v>64</v>
      </c>
      <c r="D131" s="63" t="s">
        <v>64</v>
      </c>
      <c r="E131" s="63">
        <v>3</v>
      </c>
      <c r="F131" s="63" t="s">
        <v>40</v>
      </c>
      <c r="G131" s="63" t="s">
        <v>186</v>
      </c>
      <c r="H131" s="63" t="s">
        <v>369</v>
      </c>
      <c r="I131" s="63" t="s">
        <v>52</v>
      </c>
      <c r="J131" s="63" t="s">
        <v>53</v>
      </c>
      <c r="K131" s="63" t="s">
        <v>81</v>
      </c>
      <c r="L131" s="63" t="s">
        <v>95</v>
      </c>
      <c r="N131" s="38" t="str">
        <f t="shared" si="4"/>
        <v>2</v>
      </c>
      <c r="O131" s="38" t="str">
        <f t="shared" si="5"/>
        <v>3</v>
      </c>
      <c r="P131" s="37" t="str">
        <f t="shared" si="6"/>
        <v>No</v>
      </c>
      <c r="Q131" s="37" t="str">
        <f t="shared" si="7"/>
        <v>Yes</v>
      </c>
    </row>
    <row r="132" spans="1:17" x14ac:dyDescent="0.2">
      <c r="A132" s="63" t="s">
        <v>370</v>
      </c>
      <c r="B132" s="66">
        <v>42373</v>
      </c>
      <c r="C132" s="63" t="s">
        <v>64</v>
      </c>
      <c r="D132" s="63" t="s">
        <v>189</v>
      </c>
      <c r="E132" s="63">
        <v>3</v>
      </c>
      <c r="F132" s="63" t="s">
        <v>40</v>
      </c>
      <c r="G132" s="63" t="s">
        <v>50</v>
      </c>
      <c r="H132" s="63" t="s">
        <v>371</v>
      </c>
      <c r="I132" s="63" t="s">
        <v>52</v>
      </c>
      <c r="J132" s="63" t="s">
        <v>53</v>
      </c>
      <c r="K132" s="63" t="s">
        <v>81</v>
      </c>
      <c r="L132" s="63"/>
      <c r="N132" s="38" t="str">
        <f t="shared" si="4"/>
        <v/>
      </c>
      <c r="O132" s="38" t="str">
        <f t="shared" si="5"/>
        <v/>
      </c>
      <c r="P132" s="37" t="str">
        <f t="shared" si="6"/>
        <v/>
      </c>
      <c r="Q132" s="37" t="str">
        <f t="shared" si="7"/>
        <v/>
      </c>
    </row>
    <row r="133" spans="1:17" x14ac:dyDescent="0.2">
      <c r="A133" s="63" t="s">
        <v>372</v>
      </c>
      <c r="B133" s="66">
        <v>42374</v>
      </c>
      <c r="C133" s="63" t="s">
        <v>64</v>
      </c>
      <c r="D133" s="63" t="s">
        <v>189</v>
      </c>
      <c r="E133" s="63">
        <v>3</v>
      </c>
      <c r="F133" s="63" t="s">
        <v>54</v>
      </c>
      <c r="G133" s="63" t="s">
        <v>55</v>
      </c>
      <c r="H133" s="63" t="s">
        <v>373</v>
      </c>
      <c r="I133" s="63" t="s">
        <v>49</v>
      </c>
      <c r="J133" s="63" t="s">
        <v>53</v>
      </c>
      <c r="K133" s="63" t="s">
        <v>81</v>
      </c>
      <c r="L133" s="63"/>
      <c r="N133" s="38" t="str">
        <f t="shared" si="4"/>
        <v/>
      </c>
      <c r="O133" s="38" t="str">
        <f t="shared" si="5"/>
        <v/>
      </c>
      <c r="P133" s="37" t="str">
        <f t="shared" si="6"/>
        <v/>
      </c>
      <c r="Q133" s="37" t="str">
        <f t="shared" si="7"/>
        <v/>
      </c>
    </row>
    <row r="134" spans="1:17" x14ac:dyDescent="0.2">
      <c r="A134" s="63" t="s">
        <v>205</v>
      </c>
      <c r="B134" s="66">
        <v>42374</v>
      </c>
      <c r="C134" s="63" t="s">
        <v>64</v>
      </c>
      <c r="D134" s="63" t="s">
        <v>189</v>
      </c>
      <c r="E134" s="63">
        <v>3</v>
      </c>
      <c r="F134" s="63" t="s">
        <v>45</v>
      </c>
      <c r="G134" s="63" t="s">
        <v>116</v>
      </c>
      <c r="H134" s="63" t="s">
        <v>86</v>
      </c>
      <c r="I134" s="63" t="s">
        <v>49</v>
      </c>
      <c r="J134" s="63" t="s">
        <v>53</v>
      </c>
      <c r="K134" s="63" t="s">
        <v>81</v>
      </c>
      <c r="L134" s="63"/>
      <c r="N134" s="38" t="str">
        <f t="shared" si="4"/>
        <v/>
      </c>
      <c r="O134" s="38" t="str">
        <f t="shared" si="5"/>
        <v/>
      </c>
      <c r="P134" s="37" t="str">
        <f t="shared" si="6"/>
        <v/>
      </c>
      <c r="Q134" s="37" t="str">
        <f t="shared" si="7"/>
        <v/>
      </c>
    </row>
    <row r="135" spans="1:17" x14ac:dyDescent="0.2">
      <c r="A135" s="67" t="s">
        <v>374</v>
      </c>
      <c r="B135" s="66">
        <v>42374</v>
      </c>
      <c r="C135" s="63" t="s">
        <v>64</v>
      </c>
      <c r="D135" s="63" t="s">
        <v>64</v>
      </c>
      <c r="E135" s="63">
        <v>3</v>
      </c>
      <c r="F135" s="63" t="s">
        <v>45</v>
      </c>
      <c r="G135" s="63" t="s">
        <v>56</v>
      </c>
      <c r="H135" s="63" t="s">
        <v>375</v>
      </c>
      <c r="I135" s="63" t="s">
        <v>70</v>
      </c>
      <c r="J135" s="63" t="s">
        <v>71</v>
      </c>
      <c r="K135" s="63" t="s">
        <v>81</v>
      </c>
      <c r="L135" s="63"/>
      <c r="N135" s="38" t="str">
        <f t="shared" si="4"/>
        <v/>
      </c>
      <c r="O135" s="38" t="str">
        <f t="shared" si="5"/>
        <v/>
      </c>
      <c r="P135" s="37" t="str">
        <f t="shared" si="6"/>
        <v/>
      </c>
      <c r="Q135" s="37" t="str">
        <f t="shared" si="7"/>
        <v/>
      </c>
    </row>
    <row r="136" spans="1:17" x14ac:dyDescent="0.2">
      <c r="A136" s="67" t="s">
        <v>210</v>
      </c>
      <c r="B136" s="66">
        <v>42375</v>
      </c>
      <c r="C136" s="63" t="s">
        <v>64</v>
      </c>
      <c r="D136" s="63" t="s">
        <v>64</v>
      </c>
      <c r="E136" s="63">
        <v>3</v>
      </c>
      <c r="F136" s="63" t="s">
        <v>40</v>
      </c>
      <c r="G136" s="63" t="s">
        <v>67</v>
      </c>
      <c r="H136" s="63" t="s">
        <v>211</v>
      </c>
      <c r="I136" s="63" t="s">
        <v>70</v>
      </c>
      <c r="J136" s="63" t="s">
        <v>131</v>
      </c>
      <c r="K136" s="63" t="s">
        <v>81</v>
      </c>
      <c r="L136" s="63"/>
      <c r="N136" s="38" t="str">
        <f t="shared" si="4"/>
        <v/>
      </c>
      <c r="O136" s="38" t="str">
        <f t="shared" si="5"/>
        <v/>
      </c>
      <c r="P136" s="37" t="str">
        <f t="shared" si="6"/>
        <v/>
      </c>
      <c r="Q136" s="37" t="str">
        <f t="shared" si="7"/>
        <v/>
      </c>
    </row>
    <row r="137" spans="1:17" x14ac:dyDescent="0.2">
      <c r="A137" s="67" t="s">
        <v>376</v>
      </c>
      <c r="B137" s="66">
        <v>42375</v>
      </c>
      <c r="C137" s="63" t="s">
        <v>64</v>
      </c>
      <c r="D137" s="63" t="s">
        <v>189</v>
      </c>
      <c r="E137" s="63">
        <v>3</v>
      </c>
      <c r="F137" s="63" t="s">
        <v>40</v>
      </c>
      <c r="G137" s="63" t="s">
        <v>129</v>
      </c>
      <c r="H137" s="63" t="s">
        <v>377</v>
      </c>
      <c r="I137" s="63" t="s">
        <v>52</v>
      </c>
      <c r="J137" s="63" t="s">
        <v>53</v>
      </c>
      <c r="K137" s="63" t="s">
        <v>81</v>
      </c>
      <c r="L137" s="63"/>
      <c r="N137" s="38" t="str">
        <f t="shared" si="4"/>
        <v/>
      </c>
      <c r="O137" s="38" t="str">
        <f t="shared" si="5"/>
        <v/>
      </c>
      <c r="P137" s="37" t="str">
        <f t="shared" si="6"/>
        <v/>
      </c>
      <c r="Q137" s="37" t="str">
        <f t="shared" si="7"/>
        <v/>
      </c>
    </row>
    <row r="138" spans="1:17" x14ac:dyDescent="0.2">
      <c r="A138" s="67" t="s">
        <v>215</v>
      </c>
      <c r="B138" s="66">
        <v>42375</v>
      </c>
      <c r="C138" s="63" t="s">
        <v>64</v>
      </c>
      <c r="D138" s="63" t="s">
        <v>64</v>
      </c>
      <c r="E138" s="63">
        <v>3</v>
      </c>
      <c r="F138" s="63" t="s">
        <v>54</v>
      </c>
      <c r="G138" s="63" t="s">
        <v>103</v>
      </c>
      <c r="H138" s="63" t="s">
        <v>216</v>
      </c>
      <c r="I138" s="63" t="s">
        <v>93</v>
      </c>
      <c r="J138" s="63" t="s">
        <v>92</v>
      </c>
      <c r="K138" s="63" t="s">
        <v>81</v>
      </c>
      <c r="L138" s="63"/>
      <c r="N138" s="38" t="str">
        <f t="shared" si="4"/>
        <v/>
      </c>
      <c r="O138" s="38" t="str">
        <f t="shared" si="5"/>
        <v/>
      </c>
      <c r="P138" s="37" t="str">
        <f t="shared" si="6"/>
        <v/>
      </c>
      <c r="Q138" s="37" t="str">
        <f t="shared" si="7"/>
        <v/>
      </c>
    </row>
    <row r="139" spans="1:17" x14ac:dyDescent="0.2">
      <c r="A139" s="67" t="s">
        <v>221</v>
      </c>
      <c r="B139" s="66">
        <v>42375</v>
      </c>
      <c r="C139" s="63" t="s">
        <v>64</v>
      </c>
      <c r="D139" s="63" t="s">
        <v>64</v>
      </c>
      <c r="E139" s="63">
        <v>3</v>
      </c>
      <c r="F139" s="63" t="s">
        <v>45</v>
      </c>
      <c r="G139" s="63" t="s">
        <v>56</v>
      </c>
      <c r="H139" s="63" t="s">
        <v>86</v>
      </c>
      <c r="I139" s="63" t="s">
        <v>49</v>
      </c>
      <c r="J139" s="63" t="s">
        <v>53</v>
      </c>
      <c r="K139" s="63" t="s">
        <v>81</v>
      </c>
      <c r="L139" s="63"/>
      <c r="N139" s="38" t="str">
        <f t="shared" si="4"/>
        <v/>
      </c>
      <c r="O139" s="38" t="str">
        <f t="shared" si="5"/>
        <v/>
      </c>
      <c r="P139" s="37" t="str">
        <f t="shared" si="6"/>
        <v/>
      </c>
      <c r="Q139" s="37" t="str">
        <f t="shared" si="7"/>
        <v/>
      </c>
    </row>
    <row r="140" spans="1:17" x14ac:dyDescent="0.2">
      <c r="A140" s="67" t="s">
        <v>256</v>
      </c>
      <c r="B140" s="66">
        <v>42381</v>
      </c>
      <c r="C140" s="63" t="s">
        <v>64</v>
      </c>
      <c r="D140" s="63" t="s">
        <v>64</v>
      </c>
      <c r="E140" s="63">
        <v>2</v>
      </c>
      <c r="F140" s="63" t="s">
        <v>40</v>
      </c>
      <c r="G140" s="63" t="s">
        <v>50</v>
      </c>
      <c r="H140" s="63" t="s">
        <v>257</v>
      </c>
      <c r="I140" s="63" t="s">
        <v>51</v>
      </c>
      <c r="J140" s="63" t="s">
        <v>61</v>
      </c>
      <c r="K140" s="63" t="s">
        <v>81</v>
      </c>
      <c r="L140" s="63"/>
      <c r="N140" s="38" t="str">
        <f t="shared" si="4"/>
        <v/>
      </c>
      <c r="O140" s="38" t="str">
        <f t="shared" si="5"/>
        <v/>
      </c>
      <c r="P140" s="37" t="str">
        <f t="shared" si="6"/>
        <v/>
      </c>
      <c r="Q140" s="37" t="str">
        <f t="shared" si="7"/>
        <v>Yes</v>
      </c>
    </row>
    <row r="141" spans="1:17" x14ac:dyDescent="0.2">
      <c r="A141" s="67" t="s">
        <v>378</v>
      </c>
      <c r="B141" s="66">
        <v>42382</v>
      </c>
      <c r="C141" s="63" t="s">
        <v>64</v>
      </c>
      <c r="D141" s="63" t="s">
        <v>64</v>
      </c>
      <c r="E141" s="63">
        <v>3</v>
      </c>
      <c r="F141" s="63" t="s">
        <v>77</v>
      </c>
      <c r="G141" s="63" t="s">
        <v>268</v>
      </c>
      <c r="H141" s="63" t="s">
        <v>379</v>
      </c>
      <c r="I141" s="63" t="s">
        <v>70</v>
      </c>
      <c r="J141" s="63" t="s">
        <v>78</v>
      </c>
      <c r="K141" s="63" t="s">
        <v>81</v>
      </c>
      <c r="L141" s="63"/>
      <c r="N141" s="38" t="str">
        <f t="shared" si="4"/>
        <v/>
      </c>
      <c r="O141" s="38" t="str">
        <f t="shared" si="5"/>
        <v/>
      </c>
      <c r="P141" s="37" t="str">
        <f t="shared" si="6"/>
        <v/>
      </c>
      <c r="Q141" s="37" t="str">
        <f t="shared" si="7"/>
        <v/>
      </c>
    </row>
    <row r="142" spans="1:17" x14ac:dyDescent="0.2">
      <c r="A142" s="67" t="s">
        <v>380</v>
      </c>
      <c r="B142" s="66">
        <v>42383</v>
      </c>
      <c r="C142" s="63" t="s">
        <v>64</v>
      </c>
      <c r="D142" s="63" t="s">
        <v>64</v>
      </c>
      <c r="E142" s="63">
        <v>3</v>
      </c>
      <c r="F142" s="63" t="s">
        <v>40</v>
      </c>
      <c r="G142" s="63" t="s">
        <v>91</v>
      </c>
      <c r="H142" s="63" t="s">
        <v>369</v>
      </c>
      <c r="I142" s="63" t="s">
        <v>52</v>
      </c>
      <c r="J142" s="63" t="s">
        <v>53</v>
      </c>
      <c r="K142" s="63" t="s">
        <v>81</v>
      </c>
      <c r="L142" s="63"/>
      <c r="N142" s="38" t="str">
        <f t="shared" si="4"/>
        <v/>
      </c>
      <c r="O142" s="38" t="str">
        <f t="shared" si="5"/>
        <v/>
      </c>
      <c r="P142" s="37" t="str">
        <f t="shared" si="6"/>
        <v/>
      </c>
      <c r="Q142" s="37" t="str">
        <f t="shared" si="7"/>
        <v/>
      </c>
    </row>
    <row r="143" spans="1:17" x14ac:dyDescent="0.2">
      <c r="A143" s="67" t="s">
        <v>381</v>
      </c>
      <c r="B143" s="66">
        <v>42386</v>
      </c>
      <c r="C143" s="63" t="s">
        <v>64</v>
      </c>
      <c r="D143" s="63" t="s">
        <v>64</v>
      </c>
      <c r="E143" s="63">
        <v>2</v>
      </c>
      <c r="F143" s="63" t="s">
        <v>43</v>
      </c>
      <c r="G143" s="63" t="s">
        <v>76</v>
      </c>
      <c r="H143" s="63" t="s">
        <v>382</v>
      </c>
      <c r="I143" s="63" t="s">
        <v>72</v>
      </c>
      <c r="J143" s="63" t="s">
        <v>44</v>
      </c>
      <c r="K143" s="63" t="s">
        <v>81</v>
      </c>
      <c r="L143" s="63"/>
      <c r="N143" s="38" t="str">
        <f t="shared" si="4"/>
        <v/>
      </c>
      <c r="O143" s="38" t="str">
        <f t="shared" si="5"/>
        <v/>
      </c>
      <c r="P143" s="37" t="str">
        <f t="shared" si="6"/>
        <v/>
      </c>
      <c r="Q143" s="37" t="str">
        <f t="shared" si="7"/>
        <v>Yes</v>
      </c>
    </row>
    <row r="144" spans="1:17" x14ac:dyDescent="0.2">
      <c r="A144" s="67" t="s">
        <v>286</v>
      </c>
      <c r="B144" s="66">
        <v>42387</v>
      </c>
      <c r="C144" s="63" t="s">
        <v>64</v>
      </c>
      <c r="D144" s="63" t="s">
        <v>64</v>
      </c>
      <c r="E144" s="63">
        <v>3</v>
      </c>
      <c r="F144" s="63" t="s">
        <v>54</v>
      </c>
      <c r="G144" s="63" t="s">
        <v>68</v>
      </c>
      <c r="H144" s="63" t="s">
        <v>287</v>
      </c>
      <c r="I144" s="63" t="s">
        <v>46</v>
      </c>
      <c r="J144" s="63" t="s">
        <v>44</v>
      </c>
      <c r="K144" s="63" t="s">
        <v>81</v>
      </c>
      <c r="L144" s="63"/>
      <c r="N144" s="38" t="str">
        <f t="shared" si="4"/>
        <v/>
      </c>
      <c r="O144" s="38" t="str">
        <f t="shared" si="5"/>
        <v/>
      </c>
      <c r="P144" s="37" t="str">
        <f t="shared" si="6"/>
        <v/>
      </c>
      <c r="Q144" s="37" t="str">
        <f t="shared" si="7"/>
        <v/>
      </c>
    </row>
    <row r="145" spans="1:17" x14ac:dyDescent="0.2">
      <c r="A145" s="67" t="s">
        <v>383</v>
      </c>
      <c r="B145" s="66">
        <v>42389</v>
      </c>
      <c r="C145" s="63" t="s">
        <v>64</v>
      </c>
      <c r="D145" s="63" t="s">
        <v>64</v>
      </c>
      <c r="E145" s="63">
        <v>3</v>
      </c>
      <c r="F145" s="63" t="s">
        <v>77</v>
      </c>
      <c r="G145" s="63" t="s">
        <v>80</v>
      </c>
      <c r="H145" s="63" t="s">
        <v>384</v>
      </c>
      <c r="I145" s="63" t="s">
        <v>70</v>
      </c>
      <c r="J145" s="63" t="s">
        <v>132</v>
      </c>
      <c r="K145" s="63" t="s">
        <v>81</v>
      </c>
      <c r="L145" s="63"/>
      <c r="N145" s="38" t="str">
        <f t="shared" si="4"/>
        <v/>
      </c>
      <c r="O145" s="38" t="str">
        <f t="shared" si="5"/>
        <v/>
      </c>
      <c r="P145" s="37" t="str">
        <f t="shared" si="6"/>
        <v/>
      </c>
      <c r="Q145" s="37" t="str">
        <f t="shared" si="7"/>
        <v/>
      </c>
    </row>
    <row r="146" spans="1:17" x14ac:dyDescent="0.2">
      <c r="A146" s="67" t="s">
        <v>312</v>
      </c>
      <c r="B146" s="66">
        <v>42390</v>
      </c>
      <c r="C146" s="63" t="s">
        <v>64</v>
      </c>
      <c r="D146" s="63" t="s">
        <v>64</v>
      </c>
      <c r="E146" s="63">
        <v>3</v>
      </c>
      <c r="F146" s="63" t="s">
        <v>54</v>
      </c>
      <c r="G146" s="63" t="s">
        <v>103</v>
      </c>
      <c r="H146" s="63" t="s">
        <v>313</v>
      </c>
      <c r="I146" s="63" t="s">
        <v>49</v>
      </c>
      <c r="J146" s="63" t="s">
        <v>75</v>
      </c>
      <c r="K146" s="63" t="s">
        <v>81</v>
      </c>
      <c r="L146" s="63"/>
      <c r="N146" s="38" t="str">
        <f t="shared" si="4"/>
        <v/>
      </c>
      <c r="O146" s="38" t="str">
        <f t="shared" si="5"/>
        <v/>
      </c>
      <c r="P146" s="37" t="str">
        <f t="shared" si="6"/>
        <v/>
      </c>
      <c r="Q146" s="37" t="str">
        <f t="shared" si="7"/>
        <v/>
      </c>
    </row>
    <row r="147" spans="1:17" x14ac:dyDescent="0.2">
      <c r="A147" s="67" t="s">
        <v>328</v>
      </c>
      <c r="B147" s="66">
        <v>42393</v>
      </c>
      <c r="C147" s="63" t="s">
        <v>64</v>
      </c>
      <c r="D147" s="63" t="s">
        <v>64</v>
      </c>
      <c r="E147" s="63">
        <v>3</v>
      </c>
      <c r="F147" s="63" t="s">
        <v>40</v>
      </c>
      <c r="G147" s="63" t="s">
        <v>104</v>
      </c>
      <c r="H147" s="63" t="s">
        <v>187</v>
      </c>
      <c r="I147" s="63" t="s">
        <v>51</v>
      </c>
      <c r="J147" s="63" t="s">
        <v>52</v>
      </c>
      <c r="K147" s="63" t="s">
        <v>81</v>
      </c>
      <c r="L147" s="63"/>
      <c r="N147" s="38" t="str">
        <f t="shared" si="4"/>
        <v/>
      </c>
      <c r="O147" s="38" t="str">
        <f t="shared" si="5"/>
        <v/>
      </c>
      <c r="P147" s="37" t="str">
        <f t="shared" si="6"/>
        <v/>
      </c>
      <c r="Q147" s="37" t="str">
        <f t="shared" si="7"/>
        <v/>
      </c>
    </row>
    <row r="148" spans="1:17" x14ac:dyDescent="0.2">
      <c r="A148" s="63" t="s">
        <v>334</v>
      </c>
      <c r="B148" s="66">
        <v>42394</v>
      </c>
      <c r="C148" s="63" t="s">
        <v>64</v>
      </c>
      <c r="D148" s="63" t="s">
        <v>64</v>
      </c>
      <c r="E148" s="63">
        <v>3</v>
      </c>
      <c r="F148" s="63" t="s">
        <v>40</v>
      </c>
      <c r="G148" s="63" t="s">
        <v>67</v>
      </c>
      <c r="H148" s="63" t="s">
        <v>335</v>
      </c>
      <c r="I148" s="63" t="s">
        <v>60</v>
      </c>
      <c r="J148" s="63" t="s">
        <v>57</v>
      </c>
      <c r="K148" s="63" t="s">
        <v>81</v>
      </c>
      <c r="L148" s="63"/>
      <c r="N148" s="38" t="str">
        <f t="shared" si="4"/>
        <v/>
      </c>
      <c r="O148" s="38" t="str">
        <f t="shared" si="5"/>
        <v/>
      </c>
      <c r="P148" s="37" t="str">
        <f t="shared" si="6"/>
        <v/>
      </c>
      <c r="Q148" s="37" t="str">
        <f t="shared" si="7"/>
        <v/>
      </c>
    </row>
    <row r="149" spans="1:17" x14ac:dyDescent="0.2">
      <c r="A149" s="63" t="s">
        <v>385</v>
      </c>
      <c r="B149" s="66">
        <v>42397</v>
      </c>
      <c r="C149" s="63" t="s">
        <v>88</v>
      </c>
      <c r="D149" s="63" t="s">
        <v>87</v>
      </c>
      <c r="E149" s="63">
        <v>2</v>
      </c>
      <c r="F149" s="63" t="s">
        <v>40</v>
      </c>
      <c r="G149" s="63" t="s">
        <v>129</v>
      </c>
      <c r="H149" s="63" t="s">
        <v>386</v>
      </c>
      <c r="I149" s="63"/>
      <c r="J149" s="63"/>
      <c r="K149" s="63" t="s">
        <v>81</v>
      </c>
      <c r="L149" s="63"/>
      <c r="N149" s="38" t="str">
        <f t="shared" si="4"/>
        <v/>
      </c>
      <c r="O149" s="38" t="str">
        <f t="shared" si="5"/>
        <v/>
      </c>
      <c r="P149" s="37" t="str">
        <f t="shared" si="6"/>
        <v/>
      </c>
      <c r="Q149" s="37" t="str">
        <f t="shared" si="7"/>
        <v>Yes</v>
      </c>
    </row>
    <row r="150" spans="1:17" x14ac:dyDescent="0.2">
      <c r="A150" s="41"/>
      <c r="B150" s="42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N150" s="38" t="str">
        <f t="shared" si="4"/>
        <v/>
      </c>
      <c r="O150" s="38" t="str">
        <f t="shared" si="5"/>
        <v/>
      </c>
      <c r="P150" s="37" t="str">
        <f t="shared" si="6"/>
        <v/>
      </c>
      <c r="Q150" s="37" t="str">
        <f t="shared" si="7"/>
        <v/>
      </c>
    </row>
    <row r="151" spans="1:17" x14ac:dyDescent="0.2">
      <c r="A151" s="41"/>
      <c r="B151" s="42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N151" s="38" t="str">
        <f t="shared" si="4"/>
        <v/>
      </c>
      <c r="O151" s="38" t="str">
        <f t="shared" si="5"/>
        <v/>
      </c>
      <c r="P151" s="37" t="str">
        <f t="shared" si="6"/>
        <v/>
      </c>
      <c r="Q151" s="37" t="str">
        <f t="shared" si="7"/>
        <v/>
      </c>
    </row>
    <row r="152" spans="1:17" x14ac:dyDescent="0.2">
      <c r="A152" s="41"/>
      <c r="B152" s="42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N152" s="38" t="str">
        <f t="shared" si="4"/>
        <v/>
      </c>
      <c r="O152" s="38" t="str">
        <f t="shared" si="5"/>
        <v/>
      </c>
      <c r="P152" s="37" t="str">
        <f t="shared" si="6"/>
        <v/>
      </c>
      <c r="Q152" s="37" t="str">
        <f t="shared" si="7"/>
        <v/>
      </c>
    </row>
    <row r="153" spans="1:17" x14ac:dyDescent="0.2">
      <c r="A153" s="41"/>
      <c r="B153" s="42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N153" s="38" t="str">
        <f t="shared" si="4"/>
        <v/>
      </c>
      <c r="O153" s="38" t="str">
        <f t="shared" si="5"/>
        <v/>
      </c>
      <c r="P153" s="37" t="str">
        <f t="shared" si="6"/>
        <v/>
      </c>
      <c r="Q153" s="37" t="str">
        <f t="shared" si="7"/>
        <v/>
      </c>
    </row>
    <row r="154" spans="1:17" x14ac:dyDescent="0.2">
      <c r="A154" s="41"/>
      <c r="B154" s="42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N154" s="38" t="str">
        <f t="shared" si="4"/>
        <v/>
      </c>
      <c r="O154" s="38" t="str">
        <f t="shared" si="5"/>
        <v/>
      </c>
      <c r="P154" s="37" t="str">
        <f t="shared" si="6"/>
        <v/>
      </c>
      <c r="Q154" s="37" t="str">
        <f t="shared" si="7"/>
        <v/>
      </c>
    </row>
    <row r="155" spans="1:17" x14ac:dyDescent="0.2">
      <c r="A155" s="41"/>
      <c r="B155" s="42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N155" s="38" t="str">
        <f t="shared" si="4"/>
        <v/>
      </c>
      <c r="O155" s="38" t="str">
        <f t="shared" si="5"/>
        <v/>
      </c>
      <c r="P155" s="37" t="str">
        <f t="shared" si="6"/>
        <v/>
      </c>
      <c r="Q155" s="37" t="str">
        <f t="shared" si="7"/>
        <v/>
      </c>
    </row>
    <row r="156" spans="1:17" x14ac:dyDescent="0.2">
      <c r="A156" s="41"/>
      <c r="B156" s="42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N156" s="38" t="str">
        <f t="shared" si="4"/>
        <v/>
      </c>
      <c r="O156" s="38" t="str">
        <f t="shared" si="5"/>
        <v/>
      </c>
      <c r="P156" s="37" t="str">
        <f t="shared" si="6"/>
        <v/>
      </c>
      <c r="Q156" s="37" t="str">
        <f t="shared" si="7"/>
        <v/>
      </c>
    </row>
    <row r="157" spans="1:17" x14ac:dyDescent="0.2">
      <c r="A157" s="41"/>
      <c r="B157" s="42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N157" s="38" t="str">
        <f t="shared" ref="N157:N220" si="8">IF(LEFT($L157,21)="Priority changed from",MID($L157,23,1),"")</f>
        <v/>
      </c>
      <c r="O157" s="38" t="str">
        <f t="shared" ref="O157:O220" si="9">IF(LEFT($L157,21)="Priority changed from",MID($L157,28,1),"")</f>
        <v/>
      </c>
      <c r="P157" s="37" t="str">
        <f t="shared" ref="P157:P220" si="10">IFERROR(IF(E157=1,"Yes",IF(OR(VALUE(N157)=1,VALUE(O157)=1),"Yes","No")),"")</f>
        <v/>
      </c>
      <c r="Q157" s="37" t="str">
        <f t="shared" ref="Q157:Q220" si="11">IFERROR(IF(P157="Yes","No",IF(E157=2,"Yes",IF(OR(VALUE(N157)=2,VALUE(O157)=2),"Yes","No"))),"")</f>
        <v/>
      </c>
    </row>
    <row r="158" spans="1:17" x14ac:dyDescent="0.2">
      <c r="A158" s="41"/>
      <c r="B158" s="42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N158" s="38" t="str">
        <f t="shared" si="8"/>
        <v/>
      </c>
      <c r="O158" s="38" t="str">
        <f t="shared" si="9"/>
        <v/>
      </c>
      <c r="P158" s="37" t="str">
        <f t="shared" si="10"/>
        <v/>
      </c>
      <c r="Q158" s="37" t="str">
        <f t="shared" si="11"/>
        <v/>
      </c>
    </row>
    <row r="159" spans="1:17" x14ac:dyDescent="0.2">
      <c r="A159" s="41"/>
      <c r="B159" s="42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N159" s="38" t="str">
        <f t="shared" si="8"/>
        <v/>
      </c>
      <c r="O159" s="38" t="str">
        <f t="shared" si="9"/>
        <v/>
      </c>
      <c r="P159" s="37" t="str">
        <f t="shared" si="10"/>
        <v/>
      </c>
      <c r="Q159" s="37" t="str">
        <f t="shared" si="11"/>
        <v/>
      </c>
    </row>
    <row r="160" spans="1:17" x14ac:dyDescent="0.2">
      <c r="A160" s="41"/>
      <c r="B160" s="42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N160" s="38" t="str">
        <f t="shared" si="8"/>
        <v/>
      </c>
      <c r="O160" s="38" t="str">
        <f t="shared" si="9"/>
        <v/>
      </c>
      <c r="P160" s="37" t="str">
        <f t="shared" si="10"/>
        <v/>
      </c>
      <c r="Q160" s="37" t="str">
        <f t="shared" si="11"/>
        <v/>
      </c>
    </row>
    <row r="161" spans="1:17" x14ac:dyDescent="0.2">
      <c r="A161" s="41"/>
      <c r="B161" s="42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N161" s="38" t="str">
        <f t="shared" si="8"/>
        <v/>
      </c>
      <c r="O161" s="38" t="str">
        <f t="shared" si="9"/>
        <v/>
      </c>
      <c r="P161" s="37" t="str">
        <f t="shared" si="10"/>
        <v/>
      </c>
      <c r="Q161" s="37" t="str">
        <f t="shared" si="11"/>
        <v/>
      </c>
    </row>
    <row r="162" spans="1:17" x14ac:dyDescent="0.2">
      <c r="A162" s="41"/>
      <c r="B162" s="42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N162" s="38" t="str">
        <f t="shared" si="8"/>
        <v/>
      </c>
      <c r="O162" s="38" t="str">
        <f t="shared" si="9"/>
        <v/>
      </c>
      <c r="P162" s="37" t="str">
        <f t="shared" si="10"/>
        <v/>
      </c>
      <c r="Q162" s="37" t="str">
        <f t="shared" si="11"/>
        <v/>
      </c>
    </row>
    <row r="163" spans="1:17" x14ac:dyDescent="0.2">
      <c r="A163" s="41"/>
      <c r="B163" s="42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N163" s="38" t="str">
        <f t="shared" si="8"/>
        <v/>
      </c>
      <c r="O163" s="38" t="str">
        <f t="shared" si="9"/>
        <v/>
      </c>
      <c r="P163" s="37" t="str">
        <f t="shared" si="10"/>
        <v/>
      </c>
      <c r="Q163" s="37" t="str">
        <f t="shared" si="11"/>
        <v/>
      </c>
    </row>
    <row r="164" spans="1:17" x14ac:dyDescent="0.2">
      <c r="A164" s="41"/>
      <c r="B164" s="42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N164" s="38" t="str">
        <f t="shared" si="8"/>
        <v/>
      </c>
      <c r="O164" s="38" t="str">
        <f t="shared" si="9"/>
        <v/>
      </c>
      <c r="P164" s="37" t="str">
        <f t="shared" si="10"/>
        <v/>
      </c>
      <c r="Q164" s="37" t="str">
        <f t="shared" si="11"/>
        <v/>
      </c>
    </row>
    <row r="165" spans="1:17" x14ac:dyDescent="0.2">
      <c r="A165" s="41"/>
      <c r="B165" s="42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N165" s="38" t="str">
        <f t="shared" si="8"/>
        <v/>
      </c>
      <c r="O165" s="38" t="str">
        <f t="shared" si="9"/>
        <v/>
      </c>
      <c r="P165" s="37" t="str">
        <f t="shared" si="10"/>
        <v/>
      </c>
      <c r="Q165" s="37" t="str">
        <f t="shared" si="11"/>
        <v/>
      </c>
    </row>
    <row r="166" spans="1:17" x14ac:dyDescent="0.2">
      <c r="A166" s="41"/>
      <c r="B166" s="42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N166" s="38" t="str">
        <f t="shared" si="8"/>
        <v/>
      </c>
      <c r="O166" s="38" t="str">
        <f t="shared" si="9"/>
        <v/>
      </c>
      <c r="P166" s="37" t="str">
        <f t="shared" si="10"/>
        <v/>
      </c>
      <c r="Q166" s="37" t="str">
        <f t="shared" si="11"/>
        <v/>
      </c>
    </row>
    <row r="167" spans="1:17" x14ac:dyDescent="0.2">
      <c r="A167" s="41"/>
      <c r="B167" s="42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N167" s="38" t="str">
        <f t="shared" si="8"/>
        <v/>
      </c>
      <c r="O167" s="38" t="str">
        <f t="shared" si="9"/>
        <v/>
      </c>
      <c r="P167" s="37" t="str">
        <f t="shared" si="10"/>
        <v/>
      </c>
      <c r="Q167" s="37" t="str">
        <f t="shared" si="11"/>
        <v/>
      </c>
    </row>
    <row r="168" spans="1:17" x14ac:dyDescent="0.2">
      <c r="A168" s="41"/>
      <c r="B168" s="42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N168" s="38" t="str">
        <f t="shared" si="8"/>
        <v/>
      </c>
      <c r="O168" s="38" t="str">
        <f t="shared" si="9"/>
        <v/>
      </c>
      <c r="P168" s="37" t="str">
        <f t="shared" si="10"/>
        <v/>
      </c>
      <c r="Q168" s="37" t="str">
        <f t="shared" si="11"/>
        <v/>
      </c>
    </row>
    <row r="169" spans="1:17" x14ac:dyDescent="0.2">
      <c r="A169" s="41"/>
      <c r="B169" s="42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N169" s="38" t="str">
        <f t="shared" si="8"/>
        <v/>
      </c>
      <c r="O169" s="38" t="str">
        <f t="shared" si="9"/>
        <v/>
      </c>
      <c r="P169" s="37" t="str">
        <f t="shared" si="10"/>
        <v/>
      </c>
      <c r="Q169" s="37" t="str">
        <f t="shared" si="11"/>
        <v/>
      </c>
    </row>
    <row r="170" spans="1:17" x14ac:dyDescent="0.2">
      <c r="A170" s="41"/>
      <c r="B170" s="42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N170" s="38" t="str">
        <f t="shared" si="8"/>
        <v/>
      </c>
      <c r="O170" s="38" t="str">
        <f t="shared" si="9"/>
        <v/>
      </c>
      <c r="P170" s="37" t="str">
        <f t="shared" si="10"/>
        <v/>
      </c>
      <c r="Q170" s="37" t="str">
        <f t="shared" si="11"/>
        <v/>
      </c>
    </row>
    <row r="171" spans="1:17" x14ac:dyDescent="0.2">
      <c r="A171" s="41"/>
      <c r="B171" s="42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N171" s="38" t="str">
        <f t="shared" si="8"/>
        <v/>
      </c>
      <c r="O171" s="38" t="str">
        <f t="shared" si="9"/>
        <v/>
      </c>
      <c r="P171" s="37" t="str">
        <f t="shared" si="10"/>
        <v/>
      </c>
      <c r="Q171" s="37" t="str">
        <f t="shared" si="11"/>
        <v/>
      </c>
    </row>
    <row r="172" spans="1:17" x14ac:dyDescent="0.2">
      <c r="A172" s="41"/>
      <c r="B172" s="42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N172" s="38" t="str">
        <f t="shared" si="8"/>
        <v/>
      </c>
      <c r="O172" s="38" t="str">
        <f t="shared" si="9"/>
        <v/>
      </c>
      <c r="P172" s="37" t="str">
        <f t="shared" si="10"/>
        <v/>
      </c>
      <c r="Q172" s="37" t="str">
        <f t="shared" si="11"/>
        <v/>
      </c>
    </row>
    <row r="173" spans="1:17" x14ac:dyDescent="0.2">
      <c r="A173" s="41"/>
      <c r="B173" s="42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N173" s="38" t="str">
        <f t="shared" si="8"/>
        <v/>
      </c>
      <c r="O173" s="38" t="str">
        <f t="shared" si="9"/>
        <v/>
      </c>
      <c r="P173" s="37" t="str">
        <f t="shared" si="10"/>
        <v/>
      </c>
      <c r="Q173" s="37" t="str">
        <f t="shared" si="11"/>
        <v/>
      </c>
    </row>
    <row r="174" spans="1:17" x14ac:dyDescent="0.2">
      <c r="A174" s="41"/>
      <c r="B174" s="42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N174" s="38" t="str">
        <f t="shared" si="8"/>
        <v/>
      </c>
      <c r="O174" s="38" t="str">
        <f t="shared" si="9"/>
        <v/>
      </c>
      <c r="P174" s="37" t="str">
        <f t="shared" si="10"/>
        <v/>
      </c>
      <c r="Q174" s="37" t="str">
        <f t="shared" si="11"/>
        <v/>
      </c>
    </row>
    <row r="175" spans="1:17" x14ac:dyDescent="0.2">
      <c r="A175" s="41"/>
      <c r="B175" s="42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N175" s="38" t="str">
        <f t="shared" si="8"/>
        <v/>
      </c>
      <c r="O175" s="38" t="str">
        <f t="shared" si="9"/>
        <v/>
      </c>
      <c r="P175" s="37" t="str">
        <f t="shared" si="10"/>
        <v/>
      </c>
      <c r="Q175" s="37" t="str">
        <f t="shared" si="11"/>
        <v/>
      </c>
    </row>
    <row r="176" spans="1:17" x14ac:dyDescent="0.2">
      <c r="A176" s="41"/>
      <c r="B176" s="42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N176" s="38" t="str">
        <f t="shared" si="8"/>
        <v/>
      </c>
      <c r="O176" s="38" t="str">
        <f t="shared" si="9"/>
        <v/>
      </c>
      <c r="P176" s="37" t="str">
        <f t="shared" si="10"/>
        <v/>
      </c>
      <c r="Q176" s="37" t="str">
        <f t="shared" si="11"/>
        <v/>
      </c>
    </row>
    <row r="177" spans="1:17" x14ac:dyDescent="0.2">
      <c r="A177" s="41"/>
      <c r="B177" s="42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N177" s="38" t="str">
        <f t="shared" si="8"/>
        <v/>
      </c>
      <c r="O177" s="38" t="str">
        <f t="shared" si="9"/>
        <v/>
      </c>
      <c r="P177" s="37" t="str">
        <f t="shared" si="10"/>
        <v/>
      </c>
      <c r="Q177" s="37" t="str">
        <f t="shared" si="11"/>
        <v/>
      </c>
    </row>
    <row r="178" spans="1:17" x14ac:dyDescent="0.2">
      <c r="A178" s="41"/>
      <c r="B178" s="42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N178" s="38" t="str">
        <f t="shared" si="8"/>
        <v/>
      </c>
      <c r="O178" s="38" t="str">
        <f t="shared" si="9"/>
        <v/>
      </c>
      <c r="P178" s="37" t="str">
        <f t="shared" si="10"/>
        <v/>
      </c>
      <c r="Q178" s="37" t="str">
        <f t="shared" si="11"/>
        <v/>
      </c>
    </row>
    <row r="179" spans="1:17" x14ac:dyDescent="0.2">
      <c r="A179" s="41"/>
      <c r="B179" s="42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N179" s="38" t="str">
        <f t="shared" si="8"/>
        <v/>
      </c>
      <c r="O179" s="38" t="str">
        <f t="shared" si="9"/>
        <v/>
      </c>
      <c r="P179" s="37" t="str">
        <f t="shared" si="10"/>
        <v/>
      </c>
      <c r="Q179" s="37" t="str">
        <f t="shared" si="11"/>
        <v/>
      </c>
    </row>
    <row r="180" spans="1:17" x14ac:dyDescent="0.2">
      <c r="A180" s="41"/>
      <c r="B180" s="42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N180" s="38" t="str">
        <f t="shared" si="8"/>
        <v/>
      </c>
      <c r="O180" s="38" t="str">
        <f t="shared" si="9"/>
        <v/>
      </c>
      <c r="P180" s="37" t="str">
        <f t="shared" si="10"/>
        <v/>
      </c>
      <c r="Q180" s="37" t="str">
        <f t="shared" si="11"/>
        <v/>
      </c>
    </row>
    <row r="181" spans="1:17" x14ac:dyDescent="0.2">
      <c r="A181" s="41"/>
      <c r="B181" s="42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N181" s="38" t="str">
        <f t="shared" si="8"/>
        <v/>
      </c>
      <c r="O181" s="38" t="str">
        <f t="shared" si="9"/>
        <v/>
      </c>
      <c r="P181" s="37" t="str">
        <f t="shared" si="10"/>
        <v/>
      </c>
      <c r="Q181" s="37" t="str">
        <f t="shared" si="11"/>
        <v/>
      </c>
    </row>
    <row r="182" spans="1:17" x14ac:dyDescent="0.2">
      <c r="A182" s="41"/>
      <c r="B182" s="42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N182" s="38" t="str">
        <f t="shared" si="8"/>
        <v/>
      </c>
      <c r="O182" s="38" t="str">
        <f t="shared" si="9"/>
        <v/>
      </c>
      <c r="P182" s="37" t="str">
        <f t="shared" si="10"/>
        <v/>
      </c>
      <c r="Q182" s="37" t="str">
        <f t="shared" si="11"/>
        <v/>
      </c>
    </row>
    <row r="183" spans="1:17" x14ac:dyDescent="0.2">
      <c r="A183" s="41"/>
      <c r="B183" s="42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N183" s="38" t="str">
        <f t="shared" si="8"/>
        <v/>
      </c>
      <c r="O183" s="38" t="str">
        <f t="shared" si="9"/>
        <v/>
      </c>
      <c r="P183" s="37" t="str">
        <f t="shared" si="10"/>
        <v/>
      </c>
      <c r="Q183" s="37" t="str">
        <f t="shared" si="11"/>
        <v/>
      </c>
    </row>
    <row r="184" spans="1:17" x14ac:dyDescent="0.2">
      <c r="A184" s="41"/>
      <c r="B184" s="42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N184" s="38" t="str">
        <f t="shared" si="8"/>
        <v/>
      </c>
      <c r="O184" s="38" t="str">
        <f t="shared" si="9"/>
        <v/>
      </c>
      <c r="P184" s="37" t="str">
        <f t="shared" si="10"/>
        <v/>
      </c>
      <c r="Q184" s="37" t="str">
        <f t="shared" si="11"/>
        <v/>
      </c>
    </row>
    <row r="185" spans="1:17" x14ac:dyDescent="0.2">
      <c r="A185" s="41"/>
      <c r="B185" s="42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N185" s="38" t="str">
        <f t="shared" si="8"/>
        <v/>
      </c>
      <c r="O185" s="38" t="str">
        <f t="shared" si="9"/>
        <v/>
      </c>
      <c r="P185" s="37" t="str">
        <f t="shared" si="10"/>
        <v/>
      </c>
      <c r="Q185" s="37" t="str">
        <f t="shared" si="11"/>
        <v/>
      </c>
    </row>
    <row r="186" spans="1:17" x14ac:dyDescent="0.2">
      <c r="A186" s="41"/>
      <c r="B186" s="42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N186" s="38" t="str">
        <f t="shared" si="8"/>
        <v/>
      </c>
      <c r="O186" s="38" t="str">
        <f t="shared" si="9"/>
        <v/>
      </c>
      <c r="P186" s="37" t="str">
        <f t="shared" si="10"/>
        <v/>
      </c>
      <c r="Q186" s="37" t="str">
        <f t="shared" si="11"/>
        <v/>
      </c>
    </row>
    <row r="187" spans="1:17" x14ac:dyDescent="0.2">
      <c r="A187" s="41"/>
      <c r="B187" s="42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N187" s="38" t="str">
        <f t="shared" si="8"/>
        <v/>
      </c>
      <c r="O187" s="38" t="str">
        <f t="shared" si="9"/>
        <v/>
      </c>
      <c r="P187" s="37" t="str">
        <f t="shared" si="10"/>
        <v/>
      </c>
      <c r="Q187" s="37" t="str">
        <f t="shared" si="11"/>
        <v/>
      </c>
    </row>
    <row r="188" spans="1:17" x14ac:dyDescent="0.2">
      <c r="A188" s="41"/>
      <c r="B188" s="42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N188" s="38" t="str">
        <f t="shared" si="8"/>
        <v/>
      </c>
      <c r="O188" s="38" t="str">
        <f t="shared" si="9"/>
        <v/>
      </c>
      <c r="P188" s="37" t="str">
        <f t="shared" si="10"/>
        <v/>
      </c>
      <c r="Q188" s="37" t="str">
        <f t="shared" si="11"/>
        <v/>
      </c>
    </row>
    <row r="189" spans="1:17" x14ac:dyDescent="0.2">
      <c r="A189" s="41"/>
      <c r="B189" s="42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N189" s="38" t="str">
        <f t="shared" si="8"/>
        <v/>
      </c>
      <c r="O189" s="38" t="str">
        <f t="shared" si="9"/>
        <v/>
      </c>
      <c r="P189" s="37" t="str">
        <f t="shared" si="10"/>
        <v/>
      </c>
      <c r="Q189" s="37" t="str">
        <f t="shared" si="11"/>
        <v/>
      </c>
    </row>
    <row r="190" spans="1:17" x14ac:dyDescent="0.2">
      <c r="A190" s="41"/>
      <c r="B190" s="42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N190" s="38" t="str">
        <f t="shared" si="8"/>
        <v/>
      </c>
      <c r="O190" s="38" t="str">
        <f t="shared" si="9"/>
        <v/>
      </c>
      <c r="P190" s="37" t="str">
        <f t="shared" si="10"/>
        <v/>
      </c>
      <c r="Q190" s="37" t="str">
        <f t="shared" si="11"/>
        <v/>
      </c>
    </row>
    <row r="191" spans="1:17" x14ac:dyDescent="0.2">
      <c r="A191" s="41"/>
      <c r="B191" s="42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N191" s="38" t="str">
        <f t="shared" si="8"/>
        <v/>
      </c>
      <c r="O191" s="38" t="str">
        <f t="shared" si="9"/>
        <v/>
      </c>
      <c r="P191" s="37" t="str">
        <f t="shared" si="10"/>
        <v/>
      </c>
      <c r="Q191" s="37" t="str">
        <f t="shared" si="11"/>
        <v/>
      </c>
    </row>
    <row r="192" spans="1:17" x14ac:dyDescent="0.2">
      <c r="A192" s="41"/>
      <c r="B192" s="42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N192" s="38" t="str">
        <f t="shared" si="8"/>
        <v/>
      </c>
      <c r="O192" s="38" t="str">
        <f t="shared" si="9"/>
        <v/>
      </c>
      <c r="P192" s="37" t="str">
        <f t="shared" si="10"/>
        <v/>
      </c>
      <c r="Q192" s="37" t="str">
        <f t="shared" si="11"/>
        <v/>
      </c>
    </row>
    <row r="193" spans="1:17" x14ac:dyDescent="0.2">
      <c r="A193" s="41"/>
      <c r="B193" s="42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N193" s="38" t="str">
        <f t="shared" si="8"/>
        <v/>
      </c>
      <c r="O193" s="38" t="str">
        <f t="shared" si="9"/>
        <v/>
      </c>
      <c r="P193" s="37" t="str">
        <f t="shared" si="10"/>
        <v/>
      </c>
      <c r="Q193" s="37" t="str">
        <f t="shared" si="11"/>
        <v/>
      </c>
    </row>
    <row r="194" spans="1:17" x14ac:dyDescent="0.2">
      <c r="A194" s="41"/>
      <c r="B194" s="42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N194" s="38" t="str">
        <f t="shared" si="8"/>
        <v/>
      </c>
      <c r="O194" s="38" t="str">
        <f t="shared" si="9"/>
        <v/>
      </c>
      <c r="P194" s="37" t="str">
        <f t="shared" si="10"/>
        <v/>
      </c>
      <c r="Q194" s="37" t="str">
        <f t="shared" si="11"/>
        <v/>
      </c>
    </row>
    <row r="195" spans="1:17" x14ac:dyDescent="0.2">
      <c r="A195" s="41"/>
      <c r="B195" s="42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N195" s="38" t="str">
        <f t="shared" si="8"/>
        <v/>
      </c>
      <c r="O195" s="38" t="str">
        <f t="shared" si="9"/>
        <v/>
      </c>
      <c r="P195" s="37" t="str">
        <f t="shared" si="10"/>
        <v/>
      </c>
      <c r="Q195" s="37" t="str">
        <f t="shared" si="11"/>
        <v/>
      </c>
    </row>
    <row r="196" spans="1:17" x14ac:dyDescent="0.2">
      <c r="A196" s="41"/>
      <c r="B196" s="42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N196" s="38" t="str">
        <f t="shared" si="8"/>
        <v/>
      </c>
      <c r="O196" s="38" t="str">
        <f t="shared" si="9"/>
        <v/>
      </c>
      <c r="P196" s="37" t="str">
        <f t="shared" si="10"/>
        <v/>
      </c>
      <c r="Q196" s="37" t="str">
        <f t="shared" si="11"/>
        <v/>
      </c>
    </row>
    <row r="197" spans="1:17" x14ac:dyDescent="0.2">
      <c r="A197" s="41"/>
      <c r="B197" s="42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N197" s="38" t="str">
        <f t="shared" si="8"/>
        <v/>
      </c>
      <c r="O197" s="38" t="str">
        <f t="shared" si="9"/>
        <v/>
      </c>
      <c r="P197" s="37" t="str">
        <f t="shared" si="10"/>
        <v/>
      </c>
      <c r="Q197" s="37" t="str">
        <f t="shared" si="11"/>
        <v/>
      </c>
    </row>
    <row r="198" spans="1:17" x14ac:dyDescent="0.2">
      <c r="A198" s="41"/>
      <c r="B198" s="42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N198" s="38" t="str">
        <f t="shared" si="8"/>
        <v/>
      </c>
      <c r="O198" s="38" t="str">
        <f t="shared" si="9"/>
        <v/>
      </c>
      <c r="P198" s="37" t="str">
        <f t="shared" si="10"/>
        <v/>
      </c>
      <c r="Q198" s="37" t="str">
        <f t="shared" si="11"/>
        <v/>
      </c>
    </row>
    <row r="199" spans="1:17" x14ac:dyDescent="0.2">
      <c r="A199" s="41"/>
      <c r="B199" s="42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N199" s="38" t="str">
        <f t="shared" si="8"/>
        <v/>
      </c>
      <c r="O199" s="38" t="str">
        <f t="shared" si="9"/>
        <v/>
      </c>
      <c r="P199" s="37" t="str">
        <f t="shared" si="10"/>
        <v/>
      </c>
      <c r="Q199" s="37" t="str">
        <f t="shared" si="11"/>
        <v/>
      </c>
    </row>
    <row r="200" spans="1:17" x14ac:dyDescent="0.2">
      <c r="A200" s="41"/>
      <c r="B200" s="42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N200" s="38" t="str">
        <f t="shared" si="8"/>
        <v/>
      </c>
      <c r="O200" s="38" t="str">
        <f t="shared" si="9"/>
        <v/>
      </c>
      <c r="P200" s="37" t="str">
        <f t="shared" si="10"/>
        <v/>
      </c>
      <c r="Q200" s="37" t="str">
        <f t="shared" si="11"/>
        <v/>
      </c>
    </row>
    <row r="201" spans="1:17" x14ac:dyDescent="0.2">
      <c r="A201" s="41"/>
      <c r="B201" s="42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N201" s="38" t="str">
        <f t="shared" si="8"/>
        <v/>
      </c>
      <c r="O201" s="38" t="str">
        <f t="shared" si="9"/>
        <v/>
      </c>
      <c r="P201" s="37" t="str">
        <f t="shared" si="10"/>
        <v/>
      </c>
      <c r="Q201" s="37" t="str">
        <f t="shared" si="11"/>
        <v/>
      </c>
    </row>
    <row r="202" spans="1:17" x14ac:dyDescent="0.2">
      <c r="A202" s="41"/>
      <c r="B202" s="42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N202" s="38" t="str">
        <f t="shared" si="8"/>
        <v/>
      </c>
      <c r="O202" s="38" t="str">
        <f t="shared" si="9"/>
        <v/>
      </c>
      <c r="P202" s="37" t="str">
        <f t="shared" si="10"/>
        <v/>
      </c>
      <c r="Q202" s="37" t="str">
        <f t="shared" si="11"/>
        <v/>
      </c>
    </row>
    <row r="203" spans="1:17" x14ac:dyDescent="0.2">
      <c r="A203" s="41"/>
      <c r="B203" s="42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N203" s="38" t="str">
        <f t="shared" si="8"/>
        <v/>
      </c>
      <c r="O203" s="38" t="str">
        <f t="shared" si="9"/>
        <v/>
      </c>
      <c r="P203" s="37" t="str">
        <f t="shared" si="10"/>
        <v/>
      </c>
      <c r="Q203" s="37" t="str">
        <f t="shared" si="11"/>
        <v/>
      </c>
    </row>
    <row r="204" spans="1:17" x14ac:dyDescent="0.2">
      <c r="A204" s="41"/>
      <c r="B204" s="42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N204" s="38" t="str">
        <f t="shared" si="8"/>
        <v/>
      </c>
      <c r="O204" s="38" t="str">
        <f t="shared" si="9"/>
        <v/>
      </c>
      <c r="P204" s="37" t="str">
        <f t="shared" si="10"/>
        <v/>
      </c>
      <c r="Q204" s="37" t="str">
        <f t="shared" si="11"/>
        <v/>
      </c>
    </row>
    <row r="205" spans="1:17" x14ac:dyDescent="0.2">
      <c r="A205" s="41"/>
      <c r="B205" s="42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N205" s="38" t="str">
        <f t="shared" si="8"/>
        <v/>
      </c>
      <c r="O205" s="38" t="str">
        <f t="shared" si="9"/>
        <v/>
      </c>
      <c r="P205" s="37" t="str">
        <f t="shared" si="10"/>
        <v/>
      </c>
      <c r="Q205" s="37" t="str">
        <f t="shared" si="11"/>
        <v/>
      </c>
    </row>
    <row r="206" spans="1:17" x14ac:dyDescent="0.2">
      <c r="A206" s="41"/>
      <c r="B206" s="42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N206" s="38" t="str">
        <f t="shared" si="8"/>
        <v/>
      </c>
      <c r="O206" s="38" t="str">
        <f t="shared" si="9"/>
        <v/>
      </c>
      <c r="P206" s="37" t="str">
        <f t="shared" si="10"/>
        <v/>
      </c>
      <c r="Q206" s="37" t="str">
        <f t="shared" si="11"/>
        <v/>
      </c>
    </row>
    <row r="207" spans="1:17" x14ac:dyDescent="0.2">
      <c r="A207" s="41"/>
      <c r="B207" s="42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N207" s="38" t="str">
        <f t="shared" si="8"/>
        <v/>
      </c>
      <c r="O207" s="38" t="str">
        <f t="shared" si="9"/>
        <v/>
      </c>
      <c r="P207" s="37" t="str">
        <f t="shared" si="10"/>
        <v/>
      </c>
      <c r="Q207" s="37" t="str">
        <f t="shared" si="11"/>
        <v/>
      </c>
    </row>
    <row r="208" spans="1:17" x14ac:dyDescent="0.2">
      <c r="A208" s="41"/>
      <c r="B208" s="42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N208" s="38" t="str">
        <f t="shared" si="8"/>
        <v/>
      </c>
      <c r="O208" s="38" t="str">
        <f t="shared" si="9"/>
        <v/>
      </c>
      <c r="P208" s="37" t="str">
        <f t="shared" si="10"/>
        <v/>
      </c>
      <c r="Q208" s="37" t="str">
        <f t="shared" si="11"/>
        <v/>
      </c>
    </row>
    <row r="209" spans="1:17" x14ac:dyDescent="0.2">
      <c r="A209" s="41"/>
      <c r="B209" s="42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N209" s="38" t="str">
        <f t="shared" si="8"/>
        <v/>
      </c>
      <c r="O209" s="38" t="str">
        <f t="shared" si="9"/>
        <v/>
      </c>
      <c r="P209" s="37" t="str">
        <f t="shared" si="10"/>
        <v/>
      </c>
      <c r="Q209" s="37" t="str">
        <f t="shared" si="11"/>
        <v/>
      </c>
    </row>
    <row r="210" spans="1:17" x14ac:dyDescent="0.2">
      <c r="A210" s="41"/>
      <c r="B210" s="42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N210" s="38" t="str">
        <f t="shared" si="8"/>
        <v/>
      </c>
      <c r="O210" s="38" t="str">
        <f t="shared" si="9"/>
        <v/>
      </c>
      <c r="P210" s="37" t="str">
        <f t="shared" si="10"/>
        <v/>
      </c>
      <c r="Q210" s="37" t="str">
        <f t="shared" si="11"/>
        <v/>
      </c>
    </row>
    <row r="211" spans="1:17" x14ac:dyDescent="0.2">
      <c r="A211" s="41"/>
      <c r="B211" s="42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N211" s="38" t="str">
        <f t="shared" si="8"/>
        <v/>
      </c>
      <c r="O211" s="38" t="str">
        <f t="shared" si="9"/>
        <v/>
      </c>
      <c r="P211" s="37" t="str">
        <f t="shared" si="10"/>
        <v/>
      </c>
      <c r="Q211" s="37" t="str">
        <f t="shared" si="11"/>
        <v/>
      </c>
    </row>
    <row r="212" spans="1:17" x14ac:dyDescent="0.2">
      <c r="A212" s="41"/>
      <c r="B212" s="42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N212" s="38" t="str">
        <f t="shared" si="8"/>
        <v/>
      </c>
      <c r="O212" s="38" t="str">
        <f t="shared" si="9"/>
        <v/>
      </c>
      <c r="P212" s="37" t="str">
        <f t="shared" si="10"/>
        <v/>
      </c>
      <c r="Q212" s="37" t="str">
        <f t="shared" si="11"/>
        <v/>
      </c>
    </row>
    <row r="213" spans="1:17" x14ac:dyDescent="0.2">
      <c r="A213" s="41"/>
      <c r="B213" s="42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N213" s="38" t="str">
        <f t="shared" si="8"/>
        <v/>
      </c>
      <c r="O213" s="38" t="str">
        <f t="shared" si="9"/>
        <v/>
      </c>
      <c r="P213" s="37" t="str">
        <f t="shared" si="10"/>
        <v/>
      </c>
      <c r="Q213" s="37" t="str">
        <f t="shared" si="11"/>
        <v/>
      </c>
    </row>
    <row r="214" spans="1:17" x14ac:dyDescent="0.2">
      <c r="A214" s="41"/>
      <c r="B214" s="42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N214" s="38" t="str">
        <f t="shared" si="8"/>
        <v/>
      </c>
      <c r="O214" s="38" t="str">
        <f t="shared" si="9"/>
        <v/>
      </c>
      <c r="P214" s="37" t="str">
        <f t="shared" si="10"/>
        <v/>
      </c>
      <c r="Q214" s="37" t="str">
        <f t="shared" si="11"/>
        <v/>
      </c>
    </row>
    <row r="215" spans="1:17" x14ac:dyDescent="0.2">
      <c r="A215" s="41"/>
      <c r="B215" s="42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N215" s="38" t="str">
        <f t="shared" si="8"/>
        <v/>
      </c>
      <c r="O215" s="38" t="str">
        <f t="shared" si="9"/>
        <v/>
      </c>
      <c r="P215" s="37" t="str">
        <f t="shared" si="10"/>
        <v/>
      </c>
      <c r="Q215" s="37" t="str">
        <f t="shared" si="11"/>
        <v/>
      </c>
    </row>
    <row r="216" spans="1:17" x14ac:dyDescent="0.2">
      <c r="A216" s="41"/>
      <c r="B216" s="42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N216" s="38" t="str">
        <f t="shared" si="8"/>
        <v/>
      </c>
      <c r="O216" s="38" t="str">
        <f t="shared" si="9"/>
        <v/>
      </c>
      <c r="P216" s="37" t="str">
        <f t="shared" si="10"/>
        <v/>
      </c>
      <c r="Q216" s="37" t="str">
        <f t="shared" si="11"/>
        <v/>
      </c>
    </row>
    <row r="217" spans="1:17" x14ac:dyDescent="0.2">
      <c r="A217" s="41"/>
      <c r="B217" s="42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N217" s="38" t="str">
        <f t="shared" si="8"/>
        <v/>
      </c>
      <c r="O217" s="38" t="str">
        <f t="shared" si="9"/>
        <v/>
      </c>
      <c r="P217" s="37" t="str">
        <f t="shared" si="10"/>
        <v/>
      </c>
      <c r="Q217" s="37" t="str">
        <f t="shared" si="11"/>
        <v/>
      </c>
    </row>
    <row r="218" spans="1:17" x14ac:dyDescent="0.2">
      <c r="A218" s="41"/>
      <c r="B218" s="42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N218" s="38" t="str">
        <f t="shared" si="8"/>
        <v/>
      </c>
      <c r="O218" s="38" t="str">
        <f t="shared" si="9"/>
        <v/>
      </c>
      <c r="P218" s="37" t="str">
        <f t="shared" si="10"/>
        <v/>
      </c>
      <c r="Q218" s="37" t="str">
        <f t="shared" si="11"/>
        <v/>
      </c>
    </row>
    <row r="219" spans="1:17" x14ac:dyDescent="0.2">
      <c r="A219" s="41"/>
      <c r="B219" s="42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N219" s="38" t="str">
        <f t="shared" si="8"/>
        <v/>
      </c>
      <c r="O219" s="38" t="str">
        <f t="shared" si="9"/>
        <v/>
      </c>
      <c r="P219" s="37" t="str">
        <f t="shared" si="10"/>
        <v/>
      </c>
      <c r="Q219" s="37" t="str">
        <f t="shared" si="11"/>
        <v/>
      </c>
    </row>
    <row r="220" spans="1:17" x14ac:dyDescent="0.2">
      <c r="A220" s="41"/>
      <c r="B220" s="42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N220" s="38" t="str">
        <f t="shared" si="8"/>
        <v/>
      </c>
      <c r="O220" s="38" t="str">
        <f t="shared" si="9"/>
        <v/>
      </c>
      <c r="P220" s="37" t="str">
        <f t="shared" si="10"/>
        <v/>
      </c>
      <c r="Q220" s="37" t="str">
        <f t="shared" si="11"/>
        <v/>
      </c>
    </row>
    <row r="221" spans="1:17" x14ac:dyDescent="0.2">
      <c r="A221" s="41"/>
      <c r="B221" s="42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N221" s="38" t="str">
        <f t="shared" ref="N221:N284" si="12">IF(LEFT($L221,21)="Priority changed from",MID($L221,23,1),"")</f>
        <v/>
      </c>
      <c r="O221" s="38" t="str">
        <f t="shared" ref="O221:O284" si="13">IF(LEFT($L221,21)="Priority changed from",MID($L221,28,1),"")</f>
        <v/>
      </c>
      <c r="P221" s="37" t="str">
        <f t="shared" ref="P221:P284" si="14">IFERROR(IF(E221=1,"Yes",IF(OR(VALUE(N221)=1,VALUE(O221)=1),"Yes","No")),"")</f>
        <v/>
      </c>
      <c r="Q221" s="37" t="str">
        <f t="shared" ref="Q221:Q284" si="15">IFERROR(IF(P221="Yes","No",IF(E221=2,"Yes",IF(OR(VALUE(N221)=2,VALUE(O221)=2),"Yes","No"))),"")</f>
        <v/>
      </c>
    </row>
    <row r="222" spans="1:17" x14ac:dyDescent="0.2">
      <c r="A222" s="41"/>
      <c r="B222" s="42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N222" s="38" t="str">
        <f t="shared" si="12"/>
        <v/>
      </c>
      <c r="O222" s="38" t="str">
        <f t="shared" si="13"/>
        <v/>
      </c>
      <c r="P222" s="37" t="str">
        <f t="shared" si="14"/>
        <v/>
      </c>
      <c r="Q222" s="37" t="str">
        <f t="shared" si="15"/>
        <v/>
      </c>
    </row>
    <row r="223" spans="1:17" x14ac:dyDescent="0.2">
      <c r="A223" s="41"/>
      <c r="B223" s="42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N223" s="38" t="str">
        <f t="shared" si="12"/>
        <v/>
      </c>
      <c r="O223" s="38" t="str">
        <f t="shared" si="13"/>
        <v/>
      </c>
      <c r="P223" s="37" t="str">
        <f t="shared" si="14"/>
        <v/>
      </c>
      <c r="Q223" s="37" t="str">
        <f t="shared" si="15"/>
        <v/>
      </c>
    </row>
    <row r="224" spans="1:17" x14ac:dyDescent="0.2">
      <c r="A224" s="41"/>
      <c r="B224" s="42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N224" s="38" t="str">
        <f t="shared" si="12"/>
        <v/>
      </c>
      <c r="O224" s="38" t="str">
        <f t="shared" si="13"/>
        <v/>
      </c>
      <c r="P224" s="37" t="str">
        <f t="shared" si="14"/>
        <v/>
      </c>
      <c r="Q224" s="37" t="str">
        <f t="shared" si="15"/>
        <v/>
      </c>
    </row>
    <row r="225" spans="1:17" x14ac:dyDescent="0.2">
      <c r="A225" s="41"/>
      <c r="B225" s="42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N225" s="38" t="str">
        <f t="shared" si="12"/>
        <v/>
      </c>
      <c r="O225" s="38" t="str">
        <f t="shared" si="13"/>
        <v/>
      </c>
      <c r="P225" s="37" t="str">
        <f t="shared" si="14"/>
        <v/>
      </c>
      <c r="Q225" s="37" t="str">
        <f t="shared" si="15"/>
        <v/>
      </c>
    </row>
    <row r="226" spans="1:17" x14ac:dyDescent="0.2">
      <c r="A226" s="41"/>
      <c r="B226" s="42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N226" s="38" t="str">
        <f t="shared" si="12"/>
        <v/>
      </c>
      <c r="O226" s="38" t="str">
        <f t="shared" si="13"/>
        <v/>
      </c>
      <c r="P226" s="37" t="str">
        <f t="shared" si="14"/>
        <v/>
      </c>
      <c r="Q226" s="37" t="str">
        <f t="shared" si="15"/>
        <v/>
      </c>
    </row>
    <row r="227" spans="1:17" x14ac:dyDescent="0.2">
      <c r="A227" s="41"/>
      <c r="B227" s="42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N227" s="38" t="str">
        <f t="shared" si="12"/>
        <v/>
      </c>
      <c r="O227" s="38" t="str">
        <f t="shared" si="13"/>
        <v/>
      </c>
      <c r="P227" s="37" t="str">
        <f t="shared" si="14"/>
        <v/>
      </c>
      <c r="Q227" s="37" t="str">
        <f t="shared" si="15"/>
        <v/>
      </c>
    </row>
    <row r="228" spans="1:17" x14ac:dyDescent="0.2">
      <c r="A228" s="41"/>
      <c r="B228" s="42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N228" s="38" t="str">
        <f t="shared" si="12"/>
        <v/>
      </c>
      <c r="O228" s="38" t="str">
        <f t="shared" si="13"/>
        <v/>
      </c>
      <c r="P228" s="37" t="str">
        <f t="shared" si="14"/>
        <v/>
      </c>
      <c r="Q228" s="37" t="str">
        <f t="shared" si="15"/>
        <v/>
      </c>
    </row>
    <row r="229" spans="1:17" x14ac:dyDescent="0.2">
      <c r="A229" s="41"/>
      <c r="B229" s="42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N229" s="38" t="str">
        <f t="shared" si="12"/>
        <v/>
      </c>
      <c r="O229" s="38" t="str">
        <f t="shared" si="13"/>
        <v/>
      </c>
      <c r="P229" s="37" t="str">
        <f t="shared" si="14"/>
        <v/>
      </c>
      <c r="Q229" s="37" t="str">
        <f t="shared" si="15"/>
        <v/>
      </c>
    </row>
    <row r="230" spans="1:17" x14ac:dyDescent="0.2">
      <c r="A230" s="41"/>
      <c r="B230" s="42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N230" s="38" t="str">
        <f t="shared" si="12"/>
        <v/>
      </c>
      <c r="O230" s="38" t="str">
        <f t="shared" si="13"/>
        <v/>
      </c>
      <c r="P230" s="37" t="str">
        <f t="shared" si="14"/>
        <v/>
      </c>
      <c r="Q230" s="37" t="str">
        <f t="shared" si="15"/>
        <v/>
      </c>
    </row>
    <row r="231" spans="1:17" x14ac:dyDescent="0.2">
      <c r="A231" s="41"/>
      <c r="B231" s="42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N231" s="38" t="str">
        <f t="shared" si="12"/>
        <v/>
      </c>
      <c r="O231" s="38" t="str">
        <f t="shared" si="13"/>
        <v/>
      </c>
      <c r="P231" s="37" t="str">
        <f t="shared" si="14"/>
        <v/>
      </c>
      <c r="Q231" s="37" t="str">
        <f t="shared" si="15"/>
        <v/>
      </c>
    </row>
    <row r="232" spans="1:17" x14ac:dyDescent="0.2">
      <c r="A232" s="41"/>
      <c r="B232" s="42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N232" s="38" t="str">
        <f t="shared" si="12"/>
        <v/>
      </c>
      <c r="O232" s="38" t="str">
        <f t="shared" si="13"/>
        <v/>
      </c>
      <c r="P232" s="37" t="str">
        <f t="shared" si="14"/>
        <v/>
      </c>
      <c r="Q232" s="37" t="str">
        <f t="shared" si="15"/>
        <v/>
      </c>
    </row>
    <row r="233" spans="1:17" x14ac:dyDescent="0.2">
      <c r="A233" s="41"/>
      <c r="B233" s="42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N233" s="38" t="str">
        <f t="shared" si="12"/>
        <v/>
      </c>
      <c r="O233" s="38" t="str">
        <f t="shared" si="13"/>
        <v/>
      </c>
      <c r="P233" s="37" t="str">
        <f t="shared" si="14"/>
        <v/>
      </c>
      <c r="Q233" s="37" t="str">
        <f t="shared" si="15"/>
        <v/>
      </c>
    </row>
    <row r="234" spans="1:17" x14ac:dyDescent="0.2">
      <c r="A234" s="41"/>
      <c r="B234" s="42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N234" s="38" t="str">
        <f t="shared" si="12"/>
        <v/>
      </c>
      <c r="O234" s="38" t="str">
        <f t="shared" si="13"/>
        <v/>
      </c>
      <c r="P234" s="37" t="str">
        <f t="shared" si="14"/>
        <v/>
      </c>
      <c r="Q234" s="37" t="str">
        <f t="shared" si="15"/>
        <v/>
      </c>
    </row>
    <row r="235" spans="1:17" x14ac:dyDescent="0.2">
      <c r="A235" s="41"/>
      <c r="B235" s="42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N235" s="38" t="str">
        <f t="shared" si="12"/>
        <v/>
      </c>
      <c r="O235" s="38" t="str">
        <f t="shared" si="13"/>
        <v/>
      </c>
      <c r="P235" s="37" t="str">
        <f t="shared" si="14"/>
        <v/>
      </c>
      <c r="Q235" s="37" t="str">
        <f t="shared" si="15"/>
        <v/>
      </c>
    </row>
    <row r="236" spans="1:17" x14ac:dyDescent="0.2">
      <c r="A236" s="41"/>
      <c r="B236" s="42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N236" s="38" t="str">
        <f t="shared" si="12"/>
        <v/>
      </c>
      <c r="O236" s="38" t="str">
        <f t="shared" si="13"/>
        <v/>
      </c>
      <c r="P236" s="37" t="str">
        <f t="shared" si="14"/>
        <v/>
      </c>
      <c r="Q236" s="37" t="str">
        <f t="shared" si="15"/>
        <v/>
      </c>
    </row>
    <row r="237" spans="1:17" x14ac:dyDescent="0.2">
      <c r="A237" s="41"/>
      <c r="B237" s="42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N237" s="38" t="str">
        <f t="shared" si="12"/>
        <v/>
      </c>
      <c r="O237" s="38" t="str">
        <f t="shared" si="13"/>
        <v/>
      </c>
      <c r="P237" s="37" t="str">
        <f t="shared" si="14"/>
        <v/>
      </c>
      <c r="Q237" s="37" t="str">
        <f t="shared" si="15"/>
        <v/>
      </c>
    </row>
    <row r="238" spans="1:17" x14ac:dyDescent="0.2">
      <c r="A238" s="41"/>
      <c r="B238" s="42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N238" s="38" t="str">
        <f t="shared" si="12"/>
        <v/>
      </c>
      <c r="O238" s="38" t="str">
        <f t="shared" si="13"/>
        <v/>
      </c>
      <c r="P238" s="37" t="str">
        <f t="shared" si="14"/>
        <v/>
      </c>
      <c r="Q238" s="37" t="str">
        <f t="shared" si="15"/>
        <v/>
      </c>
    </row>
    <row r="239" spans="1:17" x14ac:dyDescent="0.2">
      <c r="A239" s="64"/>
      <c r="B239" s="42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N239" s="38" t="str">
        <f t="shared" si="12"/>
        <v/>
      </c>
      <c r="O239" s="38" t="str">
        <f t="shared" si="13"/>
        <v/>
      </c>
      <c r="P239" s="37" t="str">
        <f t="shared" si="14"/>
        <v/>
      </c>
      <c r="Q239" s="37" t="str">
        <f t="shared" si="15"/>
        <v/>
      </c>
    </row>
    <row r="240" spans="1:17" x14ac:dyDescent="0.2">
      <c r="A240" s="64"/>
      <c r="B240" s="42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N240" s="38" t="str">
        <f t="shared" si="12"/>
        <v/>
      </c>
      <c r="O240" s="38" t="str">
        <f t="shared" si="13"/>
        <v/>
      </c>
      <c r="P240" s="37" t="str">
        <f t="shared" si="14"/>
        <v/>
      </c>
      <c r="Q240" s="37" t="str">
        <f t="shared" si="15"/>
        <v/>
      </c>
    </row>
    <row r="241" spans="1:17" x14ac:dyDescent="0.2">
      <c r="A241" s="41"/>
      <c r="B241" s="42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N241" s="38" t="str">
        <f t="shared" si="12"/>
        <v/>
      </c>
      <c r="O241" s="38" t="str">
        <f t="shared" si="13"/>
        <v/>
      </c>
      <c r="P241" s="37" t="str">
        <f t="shared" si="14"/>
        <v/>
      </c>
      <c r="Q241" s="37" t="str">
        <f t="shared" si="15"/>
        <v/>
      </c>
    </row>
    <row r="242" spans="1:17" x14ac:dyDescent="0.2">
      <c r="A242" s="41"/>
      <c r="B242" s="42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N242" s="38" t="str">
        <f t="shared" si="12"/>
        <v/>
      </c>
      <c r="O242" s="38" t="str">
        <f t="shared" si="13"/>
        <v/>
      </c>
      <c r="P242" s="37" t="str">
        <f t="shared" si="14"/>
        <v/>
      </c>
      <c r="Q242" s="37" t="str">
        <f t="shared" si="15"/>
        <v/>
      </c>
    </row>
    <row r="243" spans="1:17" x14ac:dyDescent="0.2">
      <c r="A243" s="41"/>
      <c r="B243" s="42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N243" s="38" t="str">
        <f t="shared" si="12"/>
        <v/>
      </c>
      <c r="O243" s="38" t="str">
        <f t="shared" si="13"/>
        <v/>
      </c>
      <c r="P243" s="37" t="str">
        <f t="shared" si="14"/>
        <v/>
      </c>
      <c r="Q243" s="37" t="str">
        <f t="shared" si="15"/>
        <v/>
      </c>
    </row>
    <row r="244" spans="1:17" x14ac:dyDescent="0.2">
      <c r="A244" s="41"/>
      <c r="B244" s="42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N244" s="38" t="str">
        <f t="shared" si="12"/>
        <v/>
      </c>
      <c r="O244" s="38" t="str">
        <f t="shared" si="13"/>
        <v/>
      </c>
      <c r="P244" s="37" t="str">
        <f t="shared" si="14"/>
        <v/>
      </c>
      <c r="Q244" s="37" t="str">
        <f t="shared" si="15"/>
        <v/>
      </c>
    </row>
    <row r="245" spans="1:17" x14ac:dyDescent="0.2">
      <c r="A245" s="41"/>
      <c r="B245" s="42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N245" s="38" t="str">
        <f t="shared" si="12"/>
        <v/>
      </c>
      <c r="O245" s="38" t="str">
        <f t="shared" si="13"/>
        <v/>
      </c>
      <c r="P245" s="37" t="str">
        <f t="shared" si="14"/>
        <v/>
      </c>
      <c r="Q245" s="37" t="str">
        <f t="shared" si="15"/>
        <v/>
      </c>
    </row>
    <row r="246" spans="1:17" x14ac:dyDescent="0.2">
      <c r="A246" s="41"/>
      <c r="B246" s="42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N246" s="38" t="str">
        <f t="shared" si="12"/>
        <v/>
      </c>
      <c r="O246" s="38" t="str">
        <f t="shared" si="13"/>
        <v/>
      </c>
      <c r="P246" s="37" t="str">
        <f t="shared" si="14"/>
        <v/>
      </c>
      <c r="Q246" s="37" t="str">
        <f t="shared" si="15"/>
        <v/>
      </c>
    </row>
    <row r="247" spans="1:17" x14ac:dyDescent="0.2">
      <c r="A247" s="41"/>
      <c r="B247" s="42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N247" s="38" t="str">
        <f t="shared" si="12"/>
        <v/>
      </c>
      <c r="O247" s="38" t="str">
        <f t="shared" si="13"/>
        <v/>
      </c>
      <c r="P247" s="37" t="str">
        <f t="shared" si="14"/>
        <v/>
      </c>
      <c r="Q247" s="37" t="str">
        <f t="shared" si="15"/>
        <v/>
      </c>
    </row>
    <row r="248" spans="1:17" x14ac:dyDescent="0.2">
      <c r="A248" s="41"/>
      <c r="B248" s="42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N248" s="38" t="str">
        <f t="shared" si="12"/>
        <v/>
      </c>
      <c r="O248" s="38" t="str">
        <f t="shared" si="13"/>
        <v/>
      </c>
      <c r="P248" s="37" t="str">
        <f t="shared" si="14"/>
        <v/>
      </c>
      <c r="Q248" s="37" t="str">
        <f t="shared" si="15"/>
        <v/>
      </c>
    </row>
    <row r="249" spans="1:17" x14ac:dyDescent="0.2">
      <c r="A249" s="41"/>
      <c r="B249" s="42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N249" s="38" t="str">
        <f t="shared" si="12"/>
        <v/>
      </c>
      <c r="O249" s="38" t="str">
        <f t="shared" si="13"/>
        <v/>
      </c>
      <c r="P249" s="37" t="str">
        <f t="shared" si="14"/>
        <v/>
      </c>
      <c r="Q249" s="37" t="str">
        <f t="shared" si="15"/>
        <v/>
      </c>
    </row>
    <row r="250" spans="1:17" x14ac:dyDescent="0.2">
      <c r="A250" s="41"/>
      <c r="B250" s="42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N250" s="38" t="str">
        <f t="shared" si="12"/>
        <v/>
      </c>
      <c r="O250" s="38" t="str">
        <f t="shared" si="13"/>
        <v/>
      </c>
      <c r="P250" s="37" t="str">
        <f t="shared" si="14"/>
        <v/>
      </c>
      <c r="Q250" s="37" t="str">
        <f t="shared" si="15"/>
        <v/>
      </c>
    </row>
    <row r="251" spans="1:17" x14ac:dyDescent="0.2">
      <c r="A251" s="41"/>
      <c r="B251" s="42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N251" s="38" t="str">
        <f t="shared" si="12"/>
        <v/>
      </c>
      <c r="O251" s="38" t="str">
        <f t="shared" si="13"/>
        <v/>
      </c>
      <c r="P251" s="37" t="str">
        <f t="shared" si="14"/>
        <v/>
      </c>
      <c r="Q251" s="37" t="str">
        <f t="shared" si="15"/>
        <v/>
      </c>
    </row>
    <row r="252" spans="1:17" x14ac:dyDescent="0.2">
      <c r="A252" s="41"/>
      <c r="B252" s="42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N252" s="38" t="str">
        <f t="shared" si="12"/>
        <v/>
      </c>
      <c r="O252" s="38" t="str">
        <f t="shared" si="13"/>
        <v/>
      </c>
      <c r="P252" s="37" t="str">
        <f t="shared" si="14"/>
        <v/>
      </c>
      <c r="Q252" s="37" t="str">
        <f t="shared" si="15"/>
        <v/>
      </c>
    </row>
    <row r="253" spans="1:17" x14ac:dyDescent="0.2">
      <c r="A253" s="41"/>
      <c r="B253" s="42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N253" s="38" t="str">
        <f t="shared" si="12"/>
        <v/>
      </c>
      <c r="O253" s="38" t="str">
        <f t="shared" si="13"/>
        <v/>
      </c>
      <c r="P253" s="37" t="str">
        <f t="shared" si="14"/>
        <v/>
      </c>
      <c r="Q253" s="37" t="str">
        <f t="shared" si="15"/>
        <v/>
      </c>
    </row>
    <row r="254" spans="1:17" x14ac:dyDescent="0.2">
      <c r="A254" s="41"/>
      <c r="B254" s="42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N254" s="38" t="str">
        <f t="shared" si="12"/>
        <v/>
      </c>
      <c r="O254" s="38" t="str">
        <f t="shared" si="13"/>
        <v/>
      </c>
      <c r="P254" s="37" t="str">
        <f t="shared" si="14"/>
        <v/>
      </c>
      <c r="Q254" s="37" t="str">
        <f t="shared" si="15"/>
        <v/>
      </c>
    </row>
    <row r="255" spans="1:17" x14ac:dyDescent="0.2">
      <c r="A255" s="41"/>
      <c r="B255" s="42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N255" s="38" t="str">
        <f t="shared" si="12"/>
        <v/>
      </c>
      <c r="O255" s="38" t="str">
        <f t="shared" si="13"/>
        <v/>
      </c>
      <c r="P255" s="37" t="str">
        <f t="shared" si="14"/>
        <v/>
      </c>
      <c r="Q255" s="37" t="str">
        <f t="shared" si="15"/>
        <v/>
      </c>
    </row>
    <row r="256" spans="1:17" x14ac:dyDescent="0.2">
      <c r="A256" s="41"/>
      <c r="B256" s="42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N256" s="38" t="str">
        <f t="shared" si="12"/>
        <v/>
      </c>
      <c r="O256" s="38" t="str">
        <f t="shared" si="13"/>
        <v/>
      </c>
      <c r="P256" s="37" t="str">
        <f t="shared" si="14"/>
        <v/>
      </c>
      <c r="Q256" s="37" t="str">
        <f t="shared" si="15"/>
        <v/>
      </c>
    </row>
    <row r="257" spans="1:17" x14ac:dyDescent="0.2">
      <c r="A257" s="41"/>
      <c r="B257" s="42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N257" s="38" t="str">
        <f t="shared" si="12"/>
        <v/>
      </c>
      <c r="O257" s="38" t="str">
        <f t="shared" si="13"/>
        <v/>
      </c>
      <c r="P257" s="37" t="str">
        <f t="shared" si="14"/>
        <v/>
      </c>
      <c r="Q257" s="37" t="str">
        <f t="shared" si="15"/>
        <v/>
      </c>
    </row>
    <row r="258" spans="1:17" x14ac:dyDescent="0.2">
      <c r="A258" s="41"/>
      <c r="B258" s="42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N258" s="38" t="str">
        <f t="shared" si="12"/>
        <v/>
      </c>
      <c r="O258" s="38" t="str">
        <f t="shared" si="13"/>
        <v/>
      </c>
      <c r="P258" s="37" t="str">
        <f t="shared" si="14"/>
        <v/>
      </c>
      <c r="Q258" s="37" t="str">
        <f t="shared" si="15"/>
        <v/>
      </c>
    </row>
    <row r="259" spans="1:17" x14ac:dyDescent="0.2">
      <c r="A259" s="41"/>
      <c r="B259" s="42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N259" s="38" t="str">
        <f t="shared" si="12"/>
        <v/>
      </c>
      <c r="O259" s="38" t="str">
        <f t="shared" si="13"/>
        <v/>
      </c>
      <c r="P259" s="37" t="str">
        <f t="shared" si="14"/>
        <v/>
      </c>
      <c r="Q259" s="37" t="str">
        <f t="shared" si="15"/>
        <v/>
      </c>
    </row>
    <row r="260" spans="1:17" x14ac:dyDescent="0.2">
      <c r="A260" s="41"/>
      <c r="B260" s="42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N260" s="38" t="str">
        <f t="shared" si="12"/>
        <v/>
      </c>
      <c r="O260" s="38" t="str">
        <f t="shared" si="13"/>
        <v/>
      </c>
      <c r="P260" s="37" t="str">
        <f t="shared" si="14"/>
        <v/>
      </c>
      <c r="Q260" s="37" t="str">
        <f t="shared" si="15"/>
        <v/>
      </c>
    </row>
    <row r="261" spans="1:17" x14ac:dyDescent="0.2">
      <c r="A261" s="41"/>
      <c r="B261" s="42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N261" s="38" t="str">
        <f t="shared" si="12"/>
        <v/>
      </c>
      <c r="O261" s="38" t="str">
        <f t="shared" si="13"/>
        <v/>
      </c>
      <c r="P261" s="37" t="str">
        <f t="shared" si="14"/>
        <v/>
      </c>
      <c r="Q261" s="37" t="str">
        <f t="shared" si="15"/>
        <v/>
      </c>
    </row>
    <row r="262" spans="1:17" x14ac:dyDescent="0.2">
      <c r="A262" s="41"/>
      <c r="B262" s="42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N262" s="38" t="str">
        <f t="shared" si="12"/>
        <v/>
      </c>
      <c r="O262" s="38" t="str">
        <f t="shared" si="13"/>
        <v/>
      </c>
      <c r="P262" s="37" t="str">
        <f t="shared" si="14"/>
        <v/>
      </c>
      <c r="Q262" s="37" t="str">
        <f t="shared" si="15"/>
        <v/>
      </c>
    </row>
    <row r="263" spans="1:17" x14ac:dyDescent="0.2">
      <c r="A263" s="41"/>
      <c r="B263" s="42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N263" s="38" t="str">
        <f t="shared" si="12"/>
        <v/>
      </c>
      <c r="O263" s="38" t="str">
        <f t="shared" si="13"/>
        <v/>
      </c>
      <c r="P263" s="37" t="str">
        <f t="shared" si="14"/>
        <v/>
      </c>
      <c r="Q263" s="37" t="str">
        <f t="shared" si="15"/>
        <v/>
      </c>
    </row>
    <row r="264" spans="1:17" x14ac:dyDescent="0.2">
      <c r="A264" s="41"/>
      <c r="B264" s="42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N264" s="38" t="str">
        <f t="shared" si="12"/>
        <v/>
      </c>
      <c r="O264" s="38" t="str">
        <f t="shared" si="13"/>
        <v/>
      </c>
      <c r="P264" s="37" t="str">
        <f t="shared" si="14"/>
        <v/>
      </c>
      <c r="Q264" s="37" t="str">
        <f t="shared" si="15"/>
        <v/>
      </c>
    </row>
    <row r="265" spans="1:17" x14ac:dyDescent="0.2">
      <c r="A265" s="41"/>
      <c r="B265" s="42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N265" s="38" t="str">
        <f t="shared" si="12"/>
        <v/>
      </c>
      <c r="O265" s="38" t="str">
        <f t="shared" si="13"/>
        <v/>
      </c>
      <c r="P265" s="37" t="str">
        <f t="shared" si="14"/>
        <v/>
      </c>
      <c r="Q265" s="37" t="str">
        <f t="shared" si="15"/>
        <v/>
      </c>
    </row>
    <row r="266" spans="1:17" x14ac:dyDescent="0.2">
      <c r="A266" s="41"/>
      <c r="B266" s="42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N266" s="38" t="str">
        <f t="shared" si="12"/>
        <v/>
      </c>
      <c r="O266" s="38" t="str">
        <f t="shared" si="13"/>
        <v/>
      </c>
      <c r="P266" s="37" t="str">
        <f t="shared" si="14"/>
        <v/>
      </c>
      <c r="Q266" s="37" t="str">
        <f t="shared" si="15"/>
        <v/>
      </c>
    </row>
    <row r="267" spans="1:17" x14ac:dyDescent="0.2">
      <c r="A267" s="41"/>
      <c r="B267" s="42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N267" s="38" t="str">
        <f t="shared" si="12"/>
        <v/>
      </c>
      <c r="O267" s="38" t="str">
        <f t="shared" si="13"/>
        <v/>
      </c>
      <c r="P267" s="37" t="str">
        <f t="shared" si="14"/>
        <v/>
      </c>
      <c r="Q267" s="37" t="str">
        <f t="shared" si="15"/>
        <v/>
      </c>
    </row>
    <row r="268" spans="1:17" x14ac:dyDescent="0.2">
      <c r="A268" s="41"/>
      <c r="B268" s="42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N268" s="38" t="str">
        <f t="shared" si="12"/>
        <v/>
      </c>
      <c r="O268" s="38" t="str">
        <f t="shared" si="13"/>
        <v/>
      </c>
      <c r="P268" s="37" t="str">
        <f t="shared" si="14"/>
        <v/>
      </c>
      <c r="Q268" s="37" t="str">
        <f t="shared" si="15"/>
        <v/>
      </c>
    </row>
    <row r="269" spans="1:17" x14ac:dyDescent="0.2">
      <c r="A269" s="41"/>
      <c r="B269" s="42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N269" s="38" t="str">
        <f t="shared" si="12"/>
        <v/>
      </c>
      <c r="O269" s="38" t="str">
        <f t="shared" si="13"/>
        <v/>
      </c>
      <c r="P269" s="37" t="str">
        <f t="shared" si="14"/>
        <v/>
      </c>
      <c r="Q269" s="37" t="str">
        <f t="shared" si="15"/>
        <v/>
      </c>
    </row>
    <row r="270" spans="1:17" x14ac:dyDescent="0.2">
      <c r="A270" s="41"/>
      <c r="B270" s="42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N270" s="38" t="str">
        <f t="shared" si="12"/>
        <v/>
      </c>
      <c r="O270" s="38" t="str">
        <f t="shared" si="13"/>
        <v/>
      </c>
      <c r="P270" s="37" t="str">
        <f t="shared" si="14"/>
        <v/>
      </c>
      <c r="Q270" s="37" t="str">
        <f t="shared" si="15"/>
        <v/>
      </c>
    </row>
    <row r="271" spans="1:17" x14ac:dyDescent="0.2">
      <c r="A271" s="41"/>
      <c r="B271" s="42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N271" s="38" t="str">
        <f t="shared" si="12"/>
        <v/>
      </c>
      <c r="O271" s="38" t="str">
        <f t="shared" si="13"/>
        <v/>
      </c>
      <c r="P271" s="37" t="str">
        <f t="shared" si="14"/>
        <v/>
      </c>
      <c r="Q271" s="37" t="str">
        <f t="shared" si="15"/>
        <v/>
      </c>
    </row>
    <row r="272" spans="1:17" x14ac:dyDescent="0.2">
      <c r="A272" s="41"/>
      <c r="B272" s="42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N272" s="38" t="str">
        <f t="shared" si="12"/>
        <v/>
      </c>
      <c r="O272" s="38" t="str">
        <f t="shared" si="13"/>
        <v/>
      </c>
      <c r="P272" s="37" t="str">
        <f t="shared" si="14"/>
        <v/>
      </c>
      <c r="Q272" s="37" t="str">
        <f t="shared" si="15"/>
        <v/>
      </c>
    </row>
    <row r="273" spans="1:17" x14ac:dyDescent="0.2">
      <c r="A273" s="41"/>
      <c r="B273" s="42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N273" s="38" t="str">
        <f t="shared" si="12"/>
        <v/>
      </c>
      <c r="O273" s="38" t="str">
        <f t="shared" si="13"/>
        <v/>
      </c>
      <c r="P273" s="37" t="str">
        <f t="shared" si="14"/>
        <v/>
      </c>
      <c r="Q273" s="37" t="str">
        <f t="shared" si="15"/>
        <v/>
      </c>
    </row>
    <row r="274" spans="1:17" x14ac:dyDescent="0.2">
      <c r="A274" s="41"/>
      <c r="B274" s="42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N274" s="38" t="str">
        <f t="shared" si="12"/>
        <v/>
      </c>
      <c r="O274" s="38" t="str">
        <f t="shared" si="13"/>
        <v/>
      </c>
      <c r="P274" s="37" t="str">
        <f t="shared" si="14"/>
        <v/>
      </c>
      <c r="Q274" s="37" t="str">
        <f t="shared" si="15"/>
        <v/>
      </c>
    </row>
    <row r="275" spans="1:17" x14ac:dyDescent="0.2">
      <c r="A275" s="41"/>
      <c r="B275" s="42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N275" s="38" t="str">
        <f t="shared" si="12"/>
        <v/>
      </c>
      <c r="O275" s="38" t="str">
        <f t="shared" si="13"/>
        <v/>
      </c>
      <c r="P275" s="37" t="str">
        <f t="shared" si="14"/>
        <v/>
      </c>
      <c r="Q275" s="37" t="str">
        <f t="shared" si="15"/>
        <v/>
      </c>
    </row>
    <row r="276" spans="1:17" x14ac:dyDescent="0.2">
      <c r="A276" s="41"/>
      <c r="B276" s="42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N276" s="38" t="str">
        <f t="shared" si="12"/>
        <v/>
      </c>
      <c r="O276" s="38" t="str">
        <f t="shared" si="13"/>
        <v/>
      </c>
      <c r="P276" s="37" t="str">
        <f t="shared" si="14"/>
        <v/>
      </c>
      <c r="Q276" s="37" t="str">
        <f t="shared" si="15"/>
        <v/>
      </c>
    </row>
    <row r="277" spans="1:17" x14ac:dyDescent="0.2">
      <c r="A277" s="41"/>
      <c r="B277" s="42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N277" s="38" t="str">
        <f t="shared" si="12"/>
        <v/>
      </c>
      <c r="O277" s="38" t="str">
        <f t="shared" si="13"/>
        <v/>
      </c>
      <c r="P277" s="37" t="str">
        <f t="shared" si="14"/>
        <v/>
      </c>
      <c r="Q277" s="37" t="str">
        <f t="shared" si="15"/>
        <v/>
      </c>
    </row>
    <row r="278" spans="1:17" x14ac:dyDescent="0.2">
      <c r="A278" s="41"/>
      <c r="B278" s="42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N278" s="38" t="str">
        <f t="shared" si="12"/>
        <v/>
      </c>
      <c r="O278" s="38" t="str">
        <f t="shared" si="13"/>
        <v/>
      </c>
      <c r="P278" s="37" t="str">
        <f t="shared" si="14"/>
        <v/>
      </c>
      <c r="Q278" s="37" t="str">
        <f t="shared" si="15"/>
        <v/>
      </c>
    </row>
    <row r="279" spans="1:17" x14ac:dyDescent="0.2">
      <c r="A279" s="41"/>
      <c r="B279" s="42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N279" s="38" t="str">
        <f t="shared" si="12"/>
        <v/>
      </c>
      <c r="O279" s="38" t="str">
        <f t="shared" si="13"/>
        <v/>
      </c>
      <c r="P279" s="37" t="str">
        <f t="shared" si="14"/>
        <v/>
      </c>
      <c r="Q279" s="37" t="str">
        <f t="shared" si="15"/>
        <v/>
      </c>
    </row>
    <row r="280" spans="1:17" x14ac:dyDescent="0.2">
      <c r="A280" s="41"/>
      <c r="B280" s="42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N280" s="38" t="str">
        <f t="shared" si="12"/>
        <v/>
      </c>
      <c r="O280" s="38" t="str">
        <f t="shared" si="13"/>
        <v/>
      </c>
      <c r="P280" s="37" t="str">
        <f t="shared" si="14"/>
        <v/>
      </c>
      <c r="Q280" s="37" t="str">
        <f t="shared" si="15"/>
        <v/>
      </c>
    </row>
    <row r="281" spans="1:17" x14ac:dyDescent="0.2">
      <c r="A281" s="41"/>
      <c r="B281" s="42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N281" s="38" t="str">
        <f t="shared" si="12"/>
        <v/>
      </c>
      <c r="O281" s="38" t="str">
        <f t="shared" si="13"/>
        <v/>
      </c>
      <c r="P281" s="37" t="str">
        <f t="shared" si="14"/>
        <v/>
      </c>
      <c r="Q281" s="37" t="str">
        <f t="shared" si="15"/>
        <v/>
      </c>
    </row>
    <row r="282" spans="1:17" x14ac:dyDescent="0.2">
      <c r="A282" s="41"/>
      <c r="B282" s="42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N282" s="38" t="str">
        <f t="shared" si="12"/>
        <v/>
      </c>
      <c r="O282" s="38" t="str">
        <f t="shared" si="13"/>
        <v/>
      </c>
      <c r="P282" s="37" t="str">
        <f t="shared" si="14"/>
        <v/>
      </c>
      <c r="Q282" s="37" t="str">
        <f t="shared" si="15"/>
        <v/>
      </c>
    </row>
    <row r="283" spans="1:17" x14ac:dyDescent="0.2">
      <c r="A283" s="41"/>
      <c r="B283" s="42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N283" s="38" t="str">
        <f t="shared" si="12"/>
        <v/>
      </c>
      <c r="O283" s="38" t="str">
        <f t="shared" si="13"/>
        <v/>
      </c>
      <c r="P283" s="37" t="str">
        <f t="shared" si="14"/>
        <v/>
      </c>
      <c r="Q283" s="37" t="str">
        <f t="shared" si="15"/>
        <v/>
      </c>
    </row>
    <row r="284" spans="1:17" x14ac:dyDescent="0.2">
      <c r="A284" s="41"/>
      <c r="B284" s="42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N284" s="38" t="str">
        <f t="shared" si="12"/>
        <v/>
      </c>
      <c r="O284" s="38" t="str">
        <f t="shared" si="13"/>
        <v/>
      </c>
      <c r="P284" s="37" t="str">
        <f t="shared" si="14"/>
        <v/>
      </c>
      <c r="Q284" s="37" t="str">
        <f t="shared" si="15"/>
        <v/>
      </c>
    </row>
    <row r="285" spans="1:17" x14ac:dyDescent="0.2">
      <c r="A285" s="41"/>
      <c r="B285" s="42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N285" s="38" t="str">
        <f t="shared" ref="N285:N348" si="16">IF(LEFT($L285,21)="Priority changed from",MID($L285,23,1),"")</f>
        <v/>
      </c>
      <c r="O285" s="38" t="str">
        <f t="shared" ref="O285:O348" si="17">IF(LEFT($L285,21)="Priority changed from",MID($L285,28,1),"")</f>
        <v/>
      </c>
      <c r="P285" s="37" t="str">
        <f t="shared" ref="P285:P348" si="18">IFERROR(IF(E285=1,"Yes",IF(OR(VALUE(N285)=1,VALUE(O285)=1),"Yes","No")),"")</f>
        <v/>
      </c>
      <c r="Q285" s="37" t="str">
        <f t="shared" ref="Q285:Q348" si="19">IFERROR(IF(P285="Yes","No",IF(E285=2,"Yes",IF(OR(VALUE(N285)=2,VALUE(O285)=2),"Yes","No"))),"")</f>
        <v/>
      </c>
    </row>
    <row r="286" spans="1:17" x14ac:dyDescent="0.2">
      <c r="A286" s="41"/>
      <c r="B286" s="42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N286" s="38" t="str">
        <f t="shared" si="16"/>
        <v/>
      </c>
      <c r="O286" s="38" t="str">
        <f t="shared" si="17"/>
        <v/>
      </c>
      <c r="P286" s="37" t="str">
        <f t="shared" si="18"/>
        <v/>
      </c>
      <c r="Q286" s="37" t="str">
        <f t="shared" si="19"/>
        <v/>
      </c>
    </row>
    <row r="287" spans="1:17" x14ac:dyDescent="0.2">
      <c r="A287" s="41"/>
      <c r="B287" s="42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N287" s="38" t="str">
        <f t="shared" si="16"/>
        <v/>
      </c>
      <c r="O287" s="38" t="str">
        <f t="shared" si="17"/>
        <v/>
      </c>
      <c r="P287" s="37" t="str">
        <f t="shared" si="18"/>
        <v/>
      </c>
      <c r="Q287" s="37" t="str">
        <f t="shared" si="19"/>
        <v/>
      </c>
    </row>
    <row r="288" spans="1:17" x14ac:dyDescent="0.2">
      <c r="A288" s="41"/>
      <c r="B288" s="42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N288" s="38" t="str">
        <f t="shared" si="16"/>
        <v/>
      </c>
      <c r="O288" s="38" t="str">
        <f t="shared" si="17"/>
        <v/>
      </c>
      <c r="P288" s="37" t="str">
        <f t="shared" si="18"/>
        <v/>
      </c>
      <c r="Q288" s="37" t="str">
        <f t="shared" si="19"/>
        <v/>
      </c>
    </row>
    <row r="289" spans="1:17" x14ac:dyDescent="0.2">
      <c r="A289" s="41"/>
      <c r="B289" s="42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N289" s="38" t="str">
        <f t="shared" si="16"/>
        <v/>
      </c>
      <c r="O289" s="38" t="str">
        <f t="shared" si="17"/>
        <v/>
      </c>
      <c r="P289" s="37" t="str">
        <f t="shared" si="18"/>
        <v/>
      </c>
      <c r="Q289" s="37" t="str">
        <f t="shared" si="19"/>
        <v/>
      </c>
    </row>
    <row r="290" spans="1:17" x14ac:dyDescent="0.2">
      <c r="A290" s="41"/>
      <c r="B290" s="42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N290" s="38" t="str">
        <f t="shared" si="16"/>
        <v/>
      </c>
      <c r="O290" s="38" t="str">
        <f t="shared" si="17"/>
        <v/>
      </c>
      <c r="P290" s="37" t="str">
        <f t="shared" si="18"/>
        <v/>
      </c>
      <c r="Q290" s="37" t="str">
        <f t="shared" si="19"/>
        <v/>
      </c>
    </row>
    <row r="291" spans="1:17" x14ac:dyDescent="0.2">
      <c r="A291" s="41"/>
      <c r="B291" s="42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N291" s="38" t="str">
        <f t="shared" si="16"/>
        <v/>
      </c>
      <c r="O291" s="38" t="str">
        <f t="shared" si="17"/>
        <v/>
      </c>
      <c r="P291" s="37" t="str">
        <f t="shared" si="18"/>
        <v/>
      </c>
      <c r="Q291" s="37" t="str">
        <f t="shared" si="19"/>
        <v/>
      </c>
    </row>
    <row r="292" spans="1:17" x14ac:dyDescent="0.2">
      <c r="A292" s="41"/>
      <c r="B292" s="42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N292" s="38" t="str">
        <f t="shared" si="16"/>
        <v/>
      </c>
      <c r="O292" s="38" t="str">
        <f t="shared" si="17"/>
        <v/>
      </c>
      <c r="P292" s="37" t="str">
        <f t="shared" si="18"/>
        <v/>
      </c>
      <c r="Q292" s="37" t="str">
        <f t="shared" si="19"/>
        <v/>
      </c>
    </row>
    <row r="293" spans="1:17" x14ac:dyDescent="0.2">
      <c r="A293" s="41"/>
      <c r="B293" s="42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N293" s="38" t="str">
        <f t="shared" si="16"/>
        <v/>
      </c>
      <c r="O293" s="38" t="str">
        <f t="shared" si="17"/>
        <v/>
      </c>
      <c r="P293" s="37" t="str">
        <f t="shared" si="18"/>
        <v/>
      </c>
      <c r="Q293" s="37" t="str">
        <f t="shared" si="19"/>
        <v/>
      </c>
    </row>
    <row r="294" spans="1:17" x14ac:dyDescent="0.2">
      <c r="A294" s="41"/>
      <c r="B294" s="42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N294" s="38" t="str">
        <f t="shared" si="16"/>
        <v/>
      </c>
      <c r="O294" s="38" t="str">
        <f t="shared" si="17"/>
        <v/>
      </c>
      <c r="P294" s="37" t="str">
        <f t="shared" si="18"/>
        <v/>
      </c>
      <c r="Q294" s="37" t="str">
        <f t="shared" si="19"/>
        <v/>
      </c>
    </row>
    <row r="295" spans="1:17" x14ac:dyDescent="0.2">
      <c r="A295" s="41"/>
      <c r="B295" s="42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N295" s="38" t="str">
        <f t="shared" si="16"/>
        <v/>
      </c>
      <c r="O295" s="38" t="str">
        <f t="shared" si="17"/>
        <v/>
      </c>
      <c r="P295" s="37" t="str">
        <f t="shared" si="18"/>
        <v/>
      </c>
      <c r="Q295" s="37" t="str">
        <f t="shared" si="19"/>
        <v/>
      </c>
    </row>
    <row r="296" spans="1:17" x14ac:dyDescent="0.2">
      <c r="A296" s="41"/>
      <c r="B296" s="42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N296" s="38" t="str">
        <f t="shared" si="16"/>
        <v/>
      </c>
      <c r="O296" s="38" t="str">
        <f t="shared" si="17"/>
        <v/>
      </c>
      <c r="P296" s="37" t="str">
        <f t="shared" si="18"/>
        <v/>
      </c>
      <c r="Q296" s="37" t="str">
        <f t="shared" si="19"/>
        <v/>
      </c>
    </row>
    <row r="297" spans="1:17" x14ac:dyDescent="0.2">
      <c r="A297" s="41"/>
      <c r="B297" s="42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N297" s="38" t="str">
        <f t="shared" si="16"/>
        <v/>
      </c>
      <c r="O297" s="38" t="str">
        <f t="shared" si="17"/>
        <v/>
      </c>
      <c r="P297" s="37" t="str">
        <f t="shared" si="18"/>
        <v/>
      </c>
      <c r="Q297" s="37" t="str">
        <f t="shared" si="19"/>
        <v/>
      </c>
    </row>
    <row r="298" spans="1:17" x14ac:dyDescent="0.2">
      <c r="A298" s="41"/>
      <c r="B298" s="42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N298" s="38" t="str">
        <f t="shared" si="16"/>
        <v/>
      </c>
      <c r="O298" s="38" t="str">
        <f t="shared" si="17"/>
        <v/>
      </c>
      <c r="P298" s="37" t="str">
        <f t="shared" si="18"/>
        <v/>
      </c>
      <c r="Q298" s="37" t="str">
        <f t="shared" si="19"/>
        <v/>
      </c>
    </row>
    <row r="299" spans="1:17" x14ac:dyDescent="0.2">
      <c r="A299" s="41"/>
      <c r="B299" s="42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N299" s="38" t="str">
        <f t="shared" si="16"/>
        <v/>
      </c>
      <c r="O299" s="38" t="str">
        <f t="shared" si="17"/>
        <v/>
      </c>
      <c r="P299" s="37" t="str">
        <f t="shared" si="18"/>
        <v/>
      </c>
      <c r="Q299" s="37" t="str">
        <f t="shared" si="19"/>
        <v/>
      </c>
    </row>
    <row r="300" spans="1:17" x14ac:dyDescent="0.2">
      <c r="A300" s="41"/>
      <c r="B300" s="42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N300" s="38" t="str">
        <f t="shared" si="16"/>
        <v/>
      </c>
      <c r="O300" s="38" t="str">
        <f t="shared" si="17"/>
        <v/>
      </c>
      <c r="P300" s="37" t="str">
        <f t="shared" si="18"/>
        <v/>
      </c>
      <c r="Q300" s="37" t="str">
        <f t="shared" si="19"/>
        <v/>
      </c>
    </row>
    <row r="301" spans="1:17" x14ac:dyDescent="0.2">
      <c r="A301" s="41"/>
      <c r="B301" s="42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N301" s="38" t="str">
        <f t="shared" si="16"/>
        <v/>
      </c>
      <c r="O301" s="38" t="str">
        <f t="shared" si="17"/>
        <v/>
      </c>
      <c r="P301" s="37" t="str">
        <f t="shared" si="18"/>
        <v/>
      </c>
      <c r="Q301" s="37" t="str">
        <f t="shared" si="19"/>
        <v/>
      </c>
    </row>
    <row r="302" spans="1:17" x14ac:dyDescent="0.2">
      <c r="A302" s="41"/>
      <c r="B302" s="42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N302" s="38" t="str">
        <f t="shared" si="16"/>
        <v/>
      </c>
      <c r="O302" s="38" t="str">
        <f t="shared" si="17"/>
        <v/>
      </c>
      <c r="P302" s="37" t="str">
        <f t="shared" si="18"/>
        <v/>
      </c>
      <c r="Q302" s="37" t="str">
        <f t="shared" si="19"/>
        <v/>
      </c>
    </row>
    <row r="303" spans="1:17" x14ac:dyDescent="0.2">
      <c r="A303" s="41"/>
      <c r="B303" s="42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N303" s="38" t="str">
        <f t="shared" si="16"/>
        <v/>
      </c>
      <c r="O303" s="38" t="str">
        <f t="shared" si="17"/>
        <v/>
      </c>
      <c r="P303" s="37" t="str">
        <f t="shared" si="18"/>
        <v/>
      </c>
      <c r="Q303" s="37" t="str">
        <f t="shared" si="19"/>
        <v/>
      </c>
    </row>
    <row r="304" spans="1:17" x14ac:dyDescent="0.2">
      <c r="A304" s="41"/>
      <c r="B304" s="42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N304" s="38" t="str">
        <f t="shared" si="16"/>
        <v/>
      </c>
      <c r="O304" s="38" t="str">
        <f t="shared" si="17"/>
        <v/>
      </c>
      <c r="P304" s="37" t="str">
        <f t="shared" si="18"/>
        <v/>
      </c>
      <c r="Q304" s="37" t="str">
        <f t="shared" si="19"/>
        <v/>
      </c>
    </row>
    <row r="305" spans="1:17" x14ac:dyDescent="0.2">
      <c r="A305" s="41"/>
      <c r="B305" s="42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N305" s="38" t="str">
        <f t="shared" si="16"/>
        <v/>
      </c>
      <c r="O305" s="38" t="str">
        <f t="shared" si="17"/>
        <v/>
      </c>
      <c r="P305" s="37" t="str">
        <f t="shared" si="18"/>
        <v/>
      </c>
      <c r="Q305" s="37" t="str">
        <f t="shared" si="19"/>
        <v/>
      </c>
    </row>
    <row r="306" spans="1:17" x14ac:dyDescent="0.2">
      <c r="A306" s="41"/>
      <c r="B306" s="42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N306" s="38" t="str">
        <f t="shared" si="16"/>
        <v/>
      </c>
      <c r="O306" s="38" t="str">
        <f t="shared" si="17"/>
        <v/>
      </c>
      <c r="P306" s="37" t="str">
        <f t="shared" si="18"/>
        <v/>
      </c>
      <c r="Q306" s="37" t="str">
        <f t="shared" si="19"/>
        <v/>
      </c>
    </row>
    <row r="307" spans="1:17" x14ac:dyDescent="0.2">
      <c r="A307" s="41"/>
      <c r="B307" s="42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N307" s="38" t="str">
        <f t="shared" si="16"/>
        <v/>
      </c>
      <c r="O307" s="38" t="str">
        <f t="shared" si="17"/>
        <v/>
      </c>
      <c r="P307" s="37" t="str">
        <f t="shared" si="18"/>
        <v/>
      </c>
      <c r="Q307" s="37" t="str">
        <f t="shared" si="19"/>
        <v/>
      </c>
    </row>
    <row r="308" spans="1:17" x14ac:dyDescent="0.2">
      <c r="A308" s="41"/>
      <c r="B308" s="42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N308" s="38" t="str">
        <f t="shared" si="16"/>
        <v/>
      </c>
      <c r="O308" s="38" t="str">
        <f t="shared" si="17"/>
        <v/>
      </c>
      <c r="P308" s="37" t="str">
        <f t="shared" si="18"/>
        <v/>
      </c>
      <c r="Q308" s="37" t="str">
        <f t="shared" si="19"/>
        <v/>
      </c>
    </row>
    <row r="309" spans="1:17" x14ac:dyDescent="0.2">
      <c r="A309" s="41"/>
      <c r="B309" s="42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N309" s="38" t="str">
        <f t="shared" si="16"/>
        <v/>
      </c>
      <c r="O309" s="38" t="str">
        <f t="shared" si="17"/>
        <v/>
      </c>
      <c r="P309" s="37" t="str">
        <f t="shared" si="18"/>
        <v/>
      </c>
      <c r="Q309" s="37" t="str">
        <f t="shared" si="19"/>
        <v/>
      </c>
    </row>
    <row r="310" spans="1:17" x14ac:dyDescent="0.2">
      <c r="A310" s="41"/>
      <c r="B310" s="42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N310" s="38" t="str">
        <f t="shared" si="16"/>
        <v/>
      </c>
      <c r="O310" s="38" t="str">
        <f t="shared" si="17"/>
        <v/>
      </c>
      <c r="P310" s="37" t="str">
        <f t="shared" si="18"/>
        <v/>
      </c>
      <c r="Q310" s="37" t="str">
        <f t="shared" si="19"/>
        <v/>
      </c>
    </row>
    <row r="311" spans="1:17" x14ac:dyDescent="0.2">
      <c r="A311" s="41"/>
      <c r="B311" s="42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N311" s="38" t="str">
        <f t="shared" si="16"/>
        <v/>
      </c>
      <c r="O311" s="38" t="str">
        <f t="shared" si="17"/>
        <v/>
      </c>
      <c r="P311" s="37" t="str">
        <f t="shared" si="18"/>
        <v/>
      </c>
      <c r="Q311" s="37" t="str">
        <f t="shared" si="19"/>
        <v/>
      </c>
    </row>
    <row r="312" spans="1:17" x14ac:dyDescent="0.2">
      <c r="A312" s="41"/>
      <c r="B312" s="42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N312" s="38" t="str">
        <f t="shared" si="16"/>
        <v/>
      </c>
      <c r="O312" s="38" t="str">
        <f t="shared" si="17"/>
        <v/>
      </c>
      <c r="P312" s="37" t="str">
        <f t="shared" si="18"/>
        <v/>
      </c>
      <c r="Q312" s="37" t="str">
        <f t="shared" si="19"/>
        <v/>
      </c>
    </row>
    <row r="313" spans="1:17" x14ac:dyDescent="0.2">
      <c r="A313" s="41"/>
      <c r="B313" s="42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N313" s="38" t="str">
        <f t="shared" si="16"/>
        <v/>
      </c>
      <c r="O313" s="38" t="str">
        <f t="shared" si="17"/>
        <v/>
      </c>
      <c r="P313" s="37" t="str">
        <f t="shared" si="18"/>
        <v/>
      </c>
      <c r="Q313" s="37" t="str">
        <f t="shared" si="19"/>
        <v/>
      </c>
    </row>
    <row r="314" spans="1:17" x14ac:dyDescent="0.2">
      <c r="A314" s="41"/>
      <c r="B314" s="42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N314" s="38" t="str">
        <f t="shared" si="16"/>
        <v/>
      </c>
      <c r="O314" s="38" t="str">
        <f t="shared" si="17"/>
        <v/>
      </c>
      <c r="P314" s="37" t="str">
        <f t="shared" si="18"/>
        <v/>
      </c>
      <c r="Q314" s="37" t="str">
        <f t="shared" si="19"/>
        <v/>
      </c>
    </row>
    <row r="315" spans="1:17" x14ac:dyDescent="0.2">
      <c r="A315" s="41"/>
      <c r="B315" s="42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N315" s="38" t="str">
        <f t="shared" si="16"/>
        <v/>
      </c>
      <c r="O315" s="38" t="str">
        <f t="shared" si="17"/>
        <v/>
      </c>
      <c r="P315" s="37" t="str">
        <f t="shared" si="18"/>
        <v/>
      </c>
      <c r="Q315" s="37" t="str">
        <f t="shared" si="19"/>
        <v/>
      </c>
    </row>
    <row r="316" spans="1:17" x14ac:dyDescent="0.2">
      <c r="A316" s="41"/>
      <c r="B316" s="42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N316" s="38" t="str">
        <f t="shared" si="16"/>
        <v/>
      </c>
      <c r="O316" s="38" t="str">
        <f t="shared" si="17"/>
        <v/>
      </c>
      <c r="P316" s="37" t="str">
        <f t="shared" si="18"/>
        <v/>
      </c>
      <c r="Q316" s="37" t="str">
        <f t="shared" si="19"/>
        <v/>
      </c>
    </row>
    <row r="317" spans="1:17" x14ac:dyDescent="0.2">
      <c r="A317" s="41"/>
      <c r="B317" s="42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N317" s="38" t="str">
        <f t="shared" si="16"/>
        <v/>
      </c>
      <c r="O317" s="38" t="str">
        <f t="shared" si="17"/>
        <v/>
      </c>
      <c r="P317" s="37" t="str">
        <f t="shared" si="18"/>
        <v/>
      </c>
      <c r="Q317" s="37" t="str">
        <f t="shared" si="19"/>
        <v/>
      </c>
    </row>
    <row r="318" spans="1:17" x14ac:dyDescent="0.2">
      <c r="A318" s="41"/>
      <c r="B318" s="42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N318" s="38" t="str">
        <f t="shared" si="16"/>
        <v/>
      </c>
      <c r="O318" s="38" t="str">
        <f t="shared" si="17"/>
        <v/>
      </c>
      <c r="P318" s="37" t="str">
        <f t="shared" si="18"/>
        <v/>
      </c>
      <c r="Q318" s="37" t="str">
        <f t="shared" si="19"/>
        <v/>
      </c>
    </row>
    <row r="319" spans="1:17" x14ac:dyDescent="0.2">
      <c r="A319" s="41"/>
      <c r="B319" s="42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N319" s="38" t="str">
        <f t="shared" si="16"/>
        <v/>
      </c>
      <c r="O319" s="38" t="str">
        <f t="shared" si="17"/>
        <v/>
      </c>
      <c r="P319" s="37" t="str">
        <f t="shared" si="18"/>
        <v/>
      </c>
      <c r="Q319" s="37" t="str">
        <f t="shared" si="19"/>
        <v/>
      </c>
    </row>
    <row r="320" spans="1:17" x14ac:dyDescent="0.2">
      <c r="A320" s="41"/>
      <c r="B320" s="42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N320" s="38" t="str">
        <f t="shared" si="16"/>
        <v/>
      </c>
      <c r="O320" s="38" t="str">
        <f t="shared" si="17"/>
        <v/>
      </c>
      <c r="P320" s="37" t="str">
        <f t="shared" si="18"/>
        <v/>
      </c>
      <c r="Q320" s="37" t="str">
        <f t="shared" si="19"/>
        <v/>
      </c>
    </row>
    <row r="321" spans="1:17" x14ac:dyDescent="0.2">
      <c r="A321" s="41"/>
      <c r="B321" s="42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N321" s="38" t="str">
        <f t="shared" si="16"/>
        <v/>
      </c>
      <c r="O321" s="38" t="str">
        <f t="shared" si="17"/>
        <v/>
      </c>
      <c r="P321" s="37" t="str">
        <f t="shared" si="18"/>
        <v/>
      </c>
      <c r="Q321" s="37" t="str">
        <f t="shared" si="19"/>
        <v/>
      </c>
    </row>
    <row r="322" spans="1:17" x14ac:dyDescent="0.2">
      <c r="A322" s="41"/>
      <c r="B322" s="42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N322" s="38" t="str">
        <f t="shared" si="16"/>
        <v/>
      </c>
      <c r="O322" s="38" t="str">
        <f t="shared" si="17"/>
        <v/>
      </c>
      <c r="P322" s="37" t="str">
        <f t="shared" si="18"/>
        <v/>
      </c>
      <c r="Q322" s="37" t="str">
        <f t="shared" si="19"/>
        <v/>
      </c>
    </row>
    <row r="323" spans="1:17" x14ac:dyDescent="0.2">
      <c r="A323" s="41"/>
      <c r="B323" s="42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N323" s="38" t="str">
        <f t="shared" si="16"/>
        <v/>
      </c>
      <c r="O323" s="38" t="str">
        <f t="shared" si="17"/>
        <v/>
      </c>
      <c r="P323" s="37" t="str">
        <f t="shared" si="18"/>
        <v/>
      </c>
      <c r="Q323" s="37" t="str">
        <f t="shared" si="19"/>
        <v/>
      </c>
    </row>
    <row r="324" spans="1:17" x14ac:dyDescent="0.2">
      <c r="A324" s="41"/>
      <c r="B324" s="42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N324" s="38" t="str">
        <f t="shared" si="16"/>
        <v/>
      </c>
      <c r="O324" s="38" t="str">
        <f t="shared" si="17"/>
        <v/>
      </c>
      <c r="P324" s="37" t="str">
        <f t="shared" si="18"/>
        <v/>
      </c>
      <c r="Q324" s="37" t="str">
        <f t="shared" si="19"/>
        <v/>
      </c>
    </row>
    <row r="325" spans="1:17" x14ac:dyDescent="0.2">
      <c r="A325" s="41"/>
      <c r="B325" s="42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N325" s="38" t="str">
        <f t="shared" si="16"/>
        <v/>
      </c>
      <c r="O325" s="38" t="str">
        <f t="shared" si="17"/>
        <v/>
      </c>
      <c r="P325" s="37" t="str">
        <f t="shared" si="18"/>
        <v/>
      </c>
      <c r="Q325" s="37" t="str">
        <f t="shared" si="19"/>
        <v/>
      </c>
    </row>
    <row r="326" spans="1:17" x14ac:dyDescent="0.2">
      <c r="A326" s="41"/>
      <c r="B326" s="42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N326" s="38" t="str">
        <f t="shared" si="16"/>
        <v/>
      </c>
      <c r="O326" s="38" t="str">
        <f t="shared" si="17"/>
        <v/>
      </c>
      <c r="P326" s="37" t="str">
        <f t="shared" si="18"/>
        <v/>
      </c>
      <c r="Q326" s="37" t="str">
        <f t="shared" si="19"/>
        <v/>
      </c>
    </row>
    <row r="327" spans="1:17" x14ac:dyDescent="0.2">
      <c r="A327" s="41"/>
      <c r="B327" s="42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N327" s="38" t="str">
        <f t="shared" si="16"/>
        <v/>
      </c>
      <c r="O327" s="38" t="str">
        <f t="shared" si="17"/>
        <v/>
      </c>
      <c r="P327" s="37" t="str">
        <f t="shared" si="18"/>
        <v/>
      </c>
      <c r="Q327" s="37" t="str">
        <f t="shared" si="19"/>
        <v/>
      </c>
    </row>
    <row r="328" spans="1:17" x14ac:dyDescent="0.2">
      <c r="A328" s="41"/>
      <c r="B328" s="42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N328" s="38" t="str">
        <f t="shared" si="16"/>
        <v/>
      </c>
      <c r="O328" s="38" t="str">
        <f t="shared" si="17"/>
        <v/>
      </c>
      <c r="P328" s="37" t="str">
        <f t="shared" si="18"/>
        <v/>
      </c>
      <c r="Q328" s="37" t="str">
        <f t="shared" si="19"/>
        <v/>
      </c>
    </row>
    <row r="329" spans="1:17" x14ac:dyDescent="0.2">
      <c r="A329" s="41"/>
      <c r="B329" s="42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N329" s="38" t="str">
        <f t="shared" si="16"/>
        <v/>
      </c>
      <c r="O329" s="38" t="str">
        <f t="shared" si="17"/>
        <v/>
      </c>
      <c r="P329" s="37" t="str">
        <f t="shared" si="18"/>
        <v/>
      </c>
      <c r="Q329" s="37" t="str">
        <f t="shared" si="19"/>
        <v/>
      </c>
    </row>
    <row r="330" spans="1:17" x14ac:dyDescent="0.2">
      <c r="A330" s="41"/>
      <c r="B330" s="42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N330" s="38" t="str">
        <f t="shared" si="16"/>
        <v/>
      </c>
      <c r="O330" s="38" t="str">
        <f t="shared" si="17"/>
        <v/>
      </c>
      <c r="P330" s="37" t="str">
        <f t="shared" si="18"/>
        <v/>
      </c>
      <c r="Q330" s="37" t="str">
        <f t="shared" si="19"/>
        <v/>
      </c>
    </row>
    <row r="331" spans="1:17" x14ac:dyDescent="0.2">
      <c r="A331" s="41"/>
      <c r="B331" s="42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N331" s="38" t="str">
        <f t="shared" si="16"/>
        <v/>
      </c>
      <c r="O331" s="38" t="str">
        <f t="shared" si="17"/>
        <v/>
      </c>
      <c r="P331" s="37" t="str">
        <f t="shared" si="18"/>
        <v/>
      </c>
      <c r="Q331" s="37" t="str">
        <f t="shared" si="19"/>
        <v/>
      </c>
    </row>
    <row r="332" spans="1:17" x14ac:dyDescent="0.2">
      <c r="A332" s="41"/>
      <c r="B332" s="42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N332" s="38" t="str">
        <f t="shared" si="16"/>
        <v/>
      </c>
      <c r="O332" s="38" t="str">
        <f t="shared" si="17"/>
        <v/>
      </c>
      <c r="P332" s="37" t="str">
        <f t="shared" si="18"/>
        <v/>
      </c>
      <c r="Q332" s="37" t="str">
        <f t="shared" si="19"/>
        <v/>
      </c>
    </row>
    <row r="333" spans="1:17" x14ac:dyDescent="0.2">
      <c r="A333" s="41"/>
      <c r="B333" s="42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N333" s="38" t="str">
        <f t="shared" si="16"/>
        <v/>
      </c>
      <c r="O333" s="38" t="str">
        <f t="shared" si="17"/>
        <v/>
      </c>
      <c r="P333" s="37" t="str">
        <f t="shared" si="18"/>
        <v/>
      </c>
      <c r="Q333" s="37" t="str">
        <f t="shared" si="19"/>
        <v/>
      </c>
    </row>
    <row r="334" spans="1:17" x14ac:dyDescent="0.2">
      <c r="A334" s="41"/>
      <c r="B334" s="42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N334" s="38" t="str">
        <f t="shared" si="16"/>
        <v/>
      </c>
      <c r="O334" s="38" t="str">
        <f t="shared" si="17"/>
        <v/>
      </c>
      <c r="P334" s="37" t="str">
        <f t="shared" si="18"/>
        <v/>
      </c>
      <c r="Q334" s="37" t="str">
        <f t="shared" si="19"/>
        <v/>
      </c>
    </row>
    <row r="335" spans="1:17" x14ac:dyDescent="0.2">
      <c r="A335" s="41"/>
      <c r="B335" s="42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N335" s="38" t="str">
        <f t="shared" si="16"/>
        <v/>
      </c>
      <c r="O335" s="38" t="str">
        <f t="shared" si="17"/>
        <v/>
      </c>
      <c r="P335" s="37" t="str">
        <f t="shared" si="18"/>
        <v/>
      </c>
      <c r="Q335" s="37" t="str">
        <f t="shared" si="19"/>
        <v/>
      </c>
    </row>
    <row r="336" spans="1:17" x14ac:dyDescent="0.2">
      <c r="A336" s="41"/>
      <c r="B336" s="42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N336" s="38" t="str">
        <f t="shared" si="16"/>
        <v/>
      </c>
      <c r="O336" s="38" t="str">
        <f t="shared" si="17"/>
        <v/>
      </c>
      <c r="P336" s="37" t="str">
        <f t="shared" si="18"/>
        <v/>
      </c>
      <c r="Q336" s="37" t="str">
        <f t="shared" si="19"/>
        <v/>
      </c>
    </row>
    <row r="337" spans="1:17" x14ac:dyDescent="0.2">
      <c r="A337" s="41"/>
      <c r="B337" s="42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N337" s="38" t="str">
        <f t="shared" si="16"/>
        <v/>
      </c>
      <c r="O337" s="38" t="str">
        <f t="shared" si="17"/>
        <v/>
      </c>
      <c r="P337" s="37" t="str">
        <f t="shared" si="18"/>
        <v/>
      </c>
      <c r="Q337" s="37" t="str">
        <f t="shared" si="19"/>
        <v/>
      </c>
    </row>
    <row r="338" spans="1:17" x14ac:dyDescent="0.2">
      <c r="A338" s="41"/>
      <c r="B338" s="42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N338" s="38" t="str">
        <f t="shared" si="16"/>
        <v/>
      </c>
      <c r="O338" s="38" t="str">
        <f t="shared" si="17"/>
        <v/>
      </c>
      <c r="P338" s="37" t="str">
        <f t="shared" si="18"/>
        <v/>
      </c>
      <c r="Q338" s="37" t="str">
        <f t="shared" si="19"/>
        <v/>
      </c>
    </row>
    <row r="339" spans="1:17" x14ac:dyDescent="0.2">
      <c r="A339" s="41"/>
      <c r="B339" s="42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N339" s="38" t="str">
        <f t="shared" si="16"/>
        <v/>
      </c>
      <c r="O339" s="38" t="str">
        <f t="shared" si="17"/>
        <v/>
      </c>
      <c r="P339" s="37" t="str">
        <f t="shared" si="18"/>
        <v/>
      </c>
      <c r="Q339" s="37" t="str">
        <f t="shared" si="19"/>
        <v/>
      </c>
    </row>
    <row r="340" spans="1:17" x14ac:dyDescent="0.2">
      <c r="A340" s="41"/>
      <c r="B340" s="42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N340" s="38" t="str">
        <f t="shared" si="16"/>
        <v/>
      </c>
      <c r="O340" s="38" t="str">
        <f t="shared" si="17"/>
        <v/>
      </c>
      <c r="P340" s="37" t="str">
        <f t="shared" si="18"/>
        <v/>
      </c>
      <c r="Q340" s="37" t="str">
        <f t="shared" si="19"/>
        <v/>
      </c>
    </row>
    <row r="341" spans="1:17" x14ac:dyDescent="0.2">
      <c r="A341" s="41"/>
      <c r="B341" s="42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N341" s="38" t="str">
        <f t="shared" si="16"/>
        <v/>
      </c>
      <c r="O341" s="38" t="str">
        <f t="shared" si="17"/>
        <v/>
      </c>
      <c r="P341" s="37" t="str">
        <f t="shared" si="18"/>
        <v/>
      </c>
      <c r="Q341" s="37" t="str">
        <f t="shared" si="19"/>
        <v/>
      </c>
    </row>
    <row r="342" spans="1:17" x14ac:dyDescent="0.2">
      <c r="A342" s="41"/>
      <c r="B342" s="42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N342" s="38" t="str">
        <f t="shared" si="16"/>
        <v/>
      </c>
      <c r="O342" s="38" t="str">
        <f t="shared" si="17"/>
        <v/>
      </c>
      <c r="P342" s="37" t="str">
        <f t="shared" si="18"/>
        <v/>
      </c>
      <c r="Q342" s="37" t="str">
        <f t="shared" si="19"/>
        <v/>
      </c>
    </row>
    <row r="343" spans="1:17" x14ac:dyDescent="0.2">
      <c r="A343" s="41"/>
      <c r="B343" s="42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N343" s="38" t="str">
        <f t="shared" si="16"/>
        <v/>
      </c>
      <c r="O343" s="38" t="str">
        <f t="shared" si="17"/>
        <v/>
      </c>
      <c r="P343" s="37" t="str">
        <f t="shared" si="18"/>
        <v/>
      </c>
      <c r="Q343" s="37" t="str">
        <f t="shared" si="19"/>
        <v/>
      </c>
    </row>
    <row r="344" spans="1:17" x14ac:dyDescent="0.2">
      <c r="A344" s="41"/>
      <c r="B344" s="42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N344" s="38" t="str">
        <f t="shared" si="16"/>
        <v/>
      </c>
      <c r="O344" s="38" t="str">
        <f t="shared" si="17"/>
        <v/>
      </c>
      <c r="P344" s="37" t="str">
        <f t="shared" si="18"/>
        <v/>
      </c>
      <c r="Q344" s="37" t="str">
        <f t="shared" si="19"/>
        <v/>
      </c>
    </row>
    <row r="345" spans="1:17" x14ac:dyDescent="0.2">
      <c r="A345" s="41"/>
      <c r="B345" s="42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N345" s="38" t="str">
        <f t="shared" si="16"/>
        <v/>
      </c>
      <c r="O345" s="38" t="str">
        <f t="shared" si="17"/>
        <v/>
      </c>
      <c r="P345" s="37" t="str">
        <f t="shared" si="18"/>
        <v/>
      </c>
      <c r="Q345" s="37" t="str">
        <f t="shared" si="19"/>
        <v/>
      </c>
    </row>
    <row r="346" spans="1:17" x14ac:dyDescent="0.2">
      <c r="A346" s="41"/>
      <c r="B346" s="42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N346" s="38" t="str">
        <f t="shared" si="16"/>
        <v/>
      </c>
      <c r="O346" s="38" t="str">
        <f t="shared" si="17"/>
        <v/>
      </c>
      <c r="P346" s="37" t="str">
        <f t="shared" si="18"/>
        <v/>
      </c>
      <c r="Q346" s="37" t="str">
        <f t="shared" si="19"/>
        <v/>
      </c>
    </row>
    <row r="347" spans="1:17" x14ac:dyDescent="0.2">
      <c r="A347" s="41"/>
      <c r="B347" s="42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N347" s="38" t="str">
        <f t="shared" si="16"/>
        <v/>
      </c>
      <c r="O347" s="38" t="str">
        <f t="shared" si="17"/>
        <v/>
      </c>
      <c r="P347" s="37" t="str">
        <f t="shared" si="18"/>
        <v/>
      </c>
      <c r="Q347" s="37" t="str">
        <f t="shared" si="19"/>
        <v/>
      </c>
    </row>
    <row r="348" spans="1:17" x14ac:dyDescent="0.2">
      <c r="A348" s="41"/>
      <c r="B348" s="42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N348" s="38" t="str">
        <f t="shared" si="16"/>
        <v/>
      </c>
      <c r="O348" s="38" t="str">
        <f t="shared" si="17"/>
        <v/>
      </c>
      <c r="P348" s="37" t="str">
        <f t="shared" si="18"/>
        <v/>
      </c>
      <c r="Q348" s="37" t="str">
        <f t="shared" si="19"/>
        <v/>
      </c>
    </row>
    <row r="349" spans="1:17" x14ac:dyDescent="0.2">
      <c r="A349" s="41"/>
      <c r="B349" s="42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N349" s="38" t="str">
        <f t="shared" ref="N349:N412" si="20">IF(LEFT($L349,21)="Priority changed from",MID($L349,23,1),"")</f>
        <v/>
      </c>
      <c r="O349" s="38" t="str">
        <f t="shared" ref="O349:O412" si="21">IF(LEFT($L349,21)="Priority changed from",MID($L349,28,1),"")</f>
        <v/>
      </c>
      <c r="P349" s="37" t="str">
        <f t="shared" ref="P349:P412" si="22">IFERROR(IF(E349=1,"Yes",IF(OR(VALUE(N349)=1,VALUE(O349)=1),"Yes","No")),"")</f>
        <v/>
      </c>
      <c r="Q349" s="37" t="str">
        <f t="shared" ref="Q349:Q412" si="23">IFERROR(IF(P349="Yes","No",IF(E349=2,"Yes",IF(OR(VALUE(N349)=2,VALUE(O349)=2),"Yes","No"))),"")</f>
        <v/>
      </c>
    </row>
    <row r="350" spans="1:17" x14ac:dyDescent="0.2">
      <c r="A350" s="41"/>
      <c r="B350" s="42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N350" s="38" t="str">
        <f t="shared" si="20"/>
        <v/>
      </c>
      <c r="O350" s="38" t="str">
        <f t="shared" si="21"/>
        <v/>
      </c>
      <c r="P350" s="37" t="str">
        <f t="shared" si="22"/>
        <v/>
      </c>
      <c r="Q350" s="37" t="str">
        <f t="shared" si="23"/>
        <v/>
      </c>
    </row>
    <row r="351" spans="1:17" x14ac:dyDescent="0.2">
      <c r="A351" s="41"/>
      <c r="B351" s="42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N351" s="38" t="str">
        <f t="shared" si="20"/>
        <v/>
      </c>
      <c r="O351" s="38" t="str">
        <f t="shared" si="21"/>
        <v/>
      </c>
      <c r="P351" s="37" t="str">
        <f t="shared" si="22"/>
        <v/>
      </c>
      <c r="Q351" s="37" t="str">
        <f t="shared" si="23"/>
        <v/>
      </c>
    </row>
    <row r="352" spans="1:17" x14ac:dyDescent="0.2">
      <c r="A352" s="41"/>
      <c r="B352" s="42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N352" s="38" t="str">
        <f t="shared" si="20"/>
        <v/>
      </c>
      <c r="O352" s="38" t="str">
        <f t="shared" si="21"/>
        <v/>
      </c>
      <c r="P352" s="37" t="str">
        <f t="shared" si="22"/>
        <v/>
      </c>
      <c r="Q352" s="37" t="str">
        <f t="shared" si="23"/>
        <v/>
      </c>
    </row>
    <row r="353" spans="1:17" x14ac:dyDescent="0.2">
      <c r="A353" s="41"/>
      <c r="B353" s="42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N353" s="38" t="str">
        <f t="shared" si="20"/>
        <v/>
      </c>
      <c r="O353" s="38" t="str">
        <f t="shared" si="21"/>
        <v/>
      </c>
      <c r="P353" s="37" t="str">
        <f t="shared" si="22"/>
        <v/>
      </c>
      <c r="Q353" s="37" t="str">
        <f t="shared" si="23"/>
        <v/>
      </c>
    </row>
    <row r="354" spans="1:17" x14ac:dyDescent="0.2">
      <c r="A354" s="41"/>
      <c r="B354" s="42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N354" s="38" t="str">
        <f t="shared" si="20"/>
        <v/>
      </c>
      <c r="O354" s="38" t="str">
        <f t="shared" si="21"/>
        <v/>
      </c>
      <c r="P354" s="37" t="str">
        <f t="shared" si="22"/>
        <v/>
      </c>
      <c r="Q354" s="37" t="str">
        <f t="shared" si="23"/>
        <v/>
      </c>
    </row>
    <row r="355" spans="1:17" x14ac:dyDescent="0.2">
      <c r="A355" s="41"/>
      <c r="B355" s="42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N355" s="38" t="str">
        <f t="shared" si="20"/>
        <v/>
      </c>
      <c r="O355" s="38" t="str">
        <f t="shared" si="21"/>
        <v/>
      </c>
      <c r="P355" s="37" t="str">
        <f t="shared" si="22"/>
        <v/>
      </c>
      <c r="Q355" s="37" t="str">
        <f t="shared" si="23"/>
        <v/>
      </c>
    </row>
    <row r="356" spans="1:17" x14ac:dyDescent="0.2">
      <c r="A356" s="41"/>
      <c r="B356" s="42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N356" s="38" t="str">
        <f t="shared" si="20"/>
        <v/>
      </c>
      <c r="O356" s="38" t="str">
        <f t="shared" si="21"/>
        <v/>
      </c>
      <c r="P356" s="37" t="str">
        <f t="shared" si="22"/>
        <v/>
      </c>
      <c r="Q356" s="37" t="str">
        <f t="shared" si="23"/>
        <v/>
      </c>
    </row>
    <row r="357" spans="1:17" x14ac:dyDescent="0.2">
      <c r="A357" s="41"/>
      <c r="B357" s="42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N357" s="38" t="str">
        <f t="shared" si="20"/>
        <v/>
      </c>
      <c r="O357" s="38" t="str">
        <f t="shared" si="21"/>
        <v/>
      </c>
      <c r="P357" s="37" t="str">
        <f t="shared" si="22"/>
        <v/>
      </c>
      <c r="Q357" s="37" t="str">
        <f t="shared" si="23"/>
        <v/>
      </c>
    </row>
    <row r="358" spans="1:17" x14ac:dyDescent="0.2">
      <c r="A358" s="41"/>
      <c r="B358" s="42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N358" s="38" t="str">
        <f t="shared" si="20"/>
        <v/>
      </c>
      <c r="O358" s="38" t="str">
        <f t="shared" si="21"/>
        <v/>
      </c>
      <c r="P358" s="37" t="str">
        <f t="shared" si="22"/>
        <v/>
      </c>
      <c r="Q358" s="37" t="str">
        <f t="shared" si="23"/>
        <v/>
      </c>
    </row>
    <row r="359" spans="1:17" x14ac:dyDescent="0.2">
      <c r="A359" s="41"/>
      <c r="B359" s="42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N359" s="38" t="str">
        <f t="shared" si="20"/>
        <v/>
      </c>
      <c r="O359" s="38" t="str">
        <f t="shared" si="21"/>
        <v/>
      </c>
      <c r="P359" s="37" t="str">
        <f t="shared" si="22"/>
        <v/>
      </c>
      <c r="Q359" s="37" t="str">
        <f t="shared" si="23"/>
        <v/>
      </c>
    </row>
    <row r="360" spans="1:17" x14ac:dyDescent="0.2">
      <c r="A360" s="41"/>
      <c r="B360" s="42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N360" s="38" t="str">
        <f t="shared" si="20"/>
        <v/>
      </c>
      <c r="O360" s="38" t="str">
        <f t="shared" si="21"/>
        <v/>
      </c>
      <c r="P360" s="37" t="str">
        <f t="shared" si="22"/>
        <v/>
      </c>
      <c r="Q360" s="37" t="str">
        <f t="shared" si="23"/>
        <v/>
      </c>
    </row>
    <row r="361" spans="1:17" x14ac:dyDescent="0.2">
      <c r="A361" s="41"/>
      <c r="B361" s="42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N361" s="38" t="str">
        <f t="shared" si="20"/>
        <v/>
      </c>
      <c r="O361" s="38" t="str">
        <f t="shared" si="21"/>
        <v/>
      </c>
      <c r="P361" s="37" t="str">
        <f t="shared" si="22"/>
        <v/>
      </c>
      <c r="Q361" s="37" t="str">
        <f t="shared" si="23"/>
        <v/>
      </c>
    </row>
    <row r="362" spans="1:17" x14ac:dyDescent="0.2">
      <c r="A362" s="41"/>
      <c r="B362" s="42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N362" s="38" t="str">
        <f t="shared" si="20"/>
        <v/>
      </c>
      <c r="O362" s="38" t="str">
        <f t="shared" si="21"/>
        <v/>
      </c>
      <c r="P362" s="37" t="str">
        <f t="shared" si="22"/>
        <v/>
      </c>
      <c r="Q362" s="37" t="str">
        <f t="shared" si="23"/>
        <v/>
      </c>
    </row>
    <row r="363" spans="1:17" x14ac:dyDescent="0.2">
      <c r="A363" s="41"/>
      <c r="B363" s="42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N363" s="38" t="str">
        <f t="shared" si="20"/>
        <v/>
      </c>
      <c r="O363" s="38" t="str">
        <f t="shared" si="21"/>
        <v/>
      </c>
      <c r="P363" s="37" t="str">
        <f t="shared" si="22"/>
        <v/>
      </c>
      <c r="Q363" s="37" t="str">
        <f t="shared" si="23"/>
        <v/>
      </c>
    </row>
    <row r="364" spans="1:17" x14ac:dyDescent="0.2">
      <c r="A364" s="41"/>
      <c r="B364" s="42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N364" s="38" t="str">
        <f t="shared" si="20"/>
        <v/>
      </c>
      <c r="O364" s="38" t="str">
        <f t="shared" si="21"/>
        <v/>
      </c>
      <c r="P364" s="37" t="str">
        <f t="shared" si="22"/>
        <v/>
      </c>
      <c r="Q364" s="37" t="str">
        <f t="shared" si="23"/>
        <v/>
      </c>
    </row>
    <row r="365" spans="1:17" x14ac:dyDescent="0.2">
      <c r="A365" s="41"/>
      <c r="B365" s="42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N365" s="38" t="str">
        <f t="shared" si="20"/>
        <v/>
      </c>
      <c r="O365" s="38" t="str">
        <f t="shared" si="21"/>
        <v/>
      </c>
      <c r="P365" s="37" t="str">
        <f t="shared" si="22"/>
        <v/>
      </c>
      <c r="Q365" s="37" t="str">
        <f t="shared" si="23"/>
        <v/>
      </c>
    </row>
    <row r="366" spans="1:17" x14ac:dyDescent="0.2">
      <c r="A366" s="41"/>
      <c r="B366" s="42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N366" s="38" t="str">
        <f t="shared" si="20"/>
        <v/>
      </c>
      <c r="O366" s="38" t="str">
        <f t="shared" si="21"/>
        <v/>
      </c>
      <c r="P366" s="37" t="str">
        <f t="shared" si="22"/>
        <v/>
      </c>
      <c r="Q366" s="37" t="str">
        <f t="shared" si="23"/>
        <v/>
      </c>
    </row>
    <row r="367" spans="1:17" x14ac:dyDescent="0.2">
      <c r="A367" s="41"/>
      <c r="B367" s="42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N367" s="38" t="str">
        <f t="shared" si="20"/>
        <v/>
      </c>
      <c r="O367" s="38" t="str">
        <f t="shared" si="21"/>
        <v/>
      </c>
      <c r="P367" s="37" t="str">
        <f t="shared" si="22"/>
        <v/>
      </c>
      <c r="Q367" s="37" t="str">
        <f t="shared" si="23"/>
        <v/>
      </c>
    </row>
    <row r="368" spans="1:17" x14ac:dyDescent="0.2">
      <c r="A368" s="41"/>
      <c r="B368" s="42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N368" s="38" t="str">
        <f t="shared" si="20"/>
        <v/>
      </c>
      <c r="O368" s="38" t="str">
        <f t="shared" si="21"/>
        <v/>
      </c>
      <c r="P368" s="37" t="str">
        <f t="shared" si="22"/>
        <v/>
      </c>
      <c r="Q368" s="37" t="str">
        <f t="shared" si="23"/>
        <v/>
      </c>
    </row>
    <row r="369" spans="1:17" x14ac:dyDescent="0.2">
      <c r="A369" s="41"/>
      <c r="B369" s="42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N369" s="38" t="str">
        <f t="shared" si="20"/>
        <v/>
      </c>
      <c r="O369" s="38" t="str">
        <f t="shared" si="21"/>
        <v/>
      </c>
      <c r="P369" s="37" t="str">
        <f t="shared" si="22"/>
        <v/>
      </c>
      <c r="Q369" s="37" t="str">
        <f t="shared" si="23"/>
        <v/>
      </c>
    </row>
    <row r="370" spans="1:17" x14ac:dyDescent="0.2">
      <c r="A370" s="41"/>
      <c r="B370" s="42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N370" s="38" t="str">
        <f t="shared" si="20"/>
        <v/>
      </c>
      <c r="O370" s="38" t="str">
        <f t="shared" si="21"/>
        <v/>
      </c>
      <c r="P370" s="37" t="str">
        <f t="shared" si="22"/>
        <v/>
      </c>
      <c r="Q370" s="37" t="str">
        <f t="shared" si="23"/>
        <v/>
      </c>
    </row>
    <row r="371" spans="1:17" x14ac:dyDescent="0.2">
      <c r="A371" s="41"/>
      <c r="B371" s="42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N371" s="38" t="str">
        <f t="shared" si="20"/>
        <v/>
      </c>
      <c r="O371" s="38" t="str">
        <f t="shared" si="21"/>
        <v/>
      </c>
      <c r="P371" s="37" t="str">
        <f t="shared" si="22"/>
        <v/>
      </c>
      <c r="Q371" s="37" t="str">
        <f t="shared" si="23"/>
        <v/>
      </c>
    </row>
    <row r="372" spans="1:17" x14ac:dyDescent="0.2">
      <c r="A372" s="41"/>
      <c r="B372" s="42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N372" s="38" t="str">
        <f t="shared" si="20"/>
        <v/>
      </c>
      <c r="O372" s="38" t="str">
        <f t="shared" si="21"/>
        <v/>
      </c>
      <c r="P372" s="37" t="str">
        <f t="shared" si="22"/>
        <v/>
      </c>
      <c r="Q372" s="37" t="str">
        <f t="shared" si="23"/>
        <v/>
      </c>
    </row>
    <row r="373" spans="1:17" x14ac:dyDescent="0.2">
      <c r="A373" s="41"/>
      <c r="B373" s="42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N373" s="38" t="str">
        <f t="shared" si="20"/>
        <v/>
      </c>
      <c r="O373" s="38" t="str">
        <f t="shared" si="21"/>
        <v/>
      </c>
      <c r="P373" s="37" t="str">
        <f t="shared" si="22"/>
        <v/>
      </c>
      <c r="Q373" s="37" t="str">
        <f t="shared" si="23"/>
        <v/>
      </c>
    </row>
    <row r="374" spans="1:17" x14ac:dyDescent="0.2">
      <c r="A374" s="41"/>
      <c r="B374" s="42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N374" s="38" t="str">
        <f t="shared" si="20"/>
        <v/>
      </c>
      <c r="O374" s="38" t="str">
        <f t="shared" si="21"/>
        <v/>
      </c>
      <c r="P374" s="37" t="str">
        <f t="shared" si="22"/>
        <v/>
      </c>
      <c r="Q374" s="37" t="str">
        <f t="shared" si="23"/>
        <v/>
      </c>
    </row>
    <row r="375" spans="1:17" x14ac:dyDescent="0.2">
      <c r="A375" s="41"/>
      <c r="B375" s="42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N375" s="38" t="str">
        <f t="shared" si="20"/>
        <v/>
      </c>
      <c r="O375" s="38" t="str">
        <f t="shared" si="21"/>
        <v/>
      </c>
      <c r="P375" s="37" t="str">
        <f t="shared" si="22"/>
        <v/>
      </c>
      <c r="Q375" s="37" t="str">
        <f t="shared" si="23"/>
        <v/>
      </c>
    </row>
    <row r="376" spans="1:17" x14ac:dyDescent="0.2">
      <c r="A376" s="41"/>
      <c r="B376" s="42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N376" s="38" t="str">
        <f t="shared" si="20"/>
        <v/>
      </c>
      <c r="O376" s="38" t="str">
        <f t="shared" si="21"/>
        <v/>
      </c>
      <c r="P376" s="37" t="str">
        <f t="shared" si="22"/>
        <v/>
      </c>
      <c r="Q376" s="37" t="str">
        <f t="shared" si="23"/>
        <v/>
      </c>
    </row>
    <row r="377" spans="1:17" x14ac:dyDescent="0.2">
      <c r="A377" s="41"/>
      <c r="B377" s="42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N377" s="38" t="str">
        <f t="shared" si="20"/>
        <v/>
      </c>
      <c r="O377" s="38" t="str">
        <f t="shared" si="21"/>
        <v/>
      </c>
      <c r="P377" s="37" t="str">
        <f t="shared" si="22"/>
        <v/>
      </c>
      <c r="Q377" s="37" t="str">
        <f t="shared" si="23"/>
        <v/>
      </c>
    </row>
    <row r="378" spans="1:17" x14ac:dyDescent="0.2">
      <c r="A378" s="41"/>
      <c r="B378" s="42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N378" s="38" t="str">
        <f t="shared" si="20"/>
        <v/>
      </c>
      <c r="O378" s="38" t="str">
        <f t="shared" si="21"/>
        <v/>
      </c>
      <c r="P378" s="37" t="str">
        <f t="shared" si="22"/>
        <v/>
      </c>
      <c r="Q378" s="37" t="str">
        <f t="shared" si="23"/>
        <v/>
      </c>
    </row>
    <row r="379" spans="1:17" x14ac:dyDescent="0.2">
      <c r="A379" s="41"/>
      <c r="B379" s="42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N379" s="38" t="str">
        <f t="shared" si="20"/>
        <v/>
      </c>
      <c r="O379" s="38" t="str">
        <f t="shared" si="21"/>
        <v/>
      </c>
      <c r="P379" s="37" t="str">
        <f t="shared" si="22"/>
        <v/>
      </c>
      <c r="Q379" s="37" t="str">
        <f t="shared" si="23"/>
        <v/>
      </c>
    </row>
    <row r="380" spans="1:17" x14ac:dyDescent="0.2">
      <c r="A380" s="64"/>
      <c r="B380" s="42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N380" s="38" t="str">
        <f t="shared" si="20"/>
        <v/>
      </c>
      <c r="O380" s="38" t="str">
        <f t="shared" si="21"/>
        <v/>
      </c>
      <c r="P380" s="37" t="str">
        <f t="shared" si="22"/>
        <v/>
      </c>
      <c r="Q380" s="37" t="str">
        <f t="shared" si="23"/>
        <v/>
      </c>
    </row>
    <row r="381" spans="1:17" x14ac:dyDescent="0.2">
      <c r="A381" s="64"/>
      <c r="B381" s="42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N381" s="38" t="str">
        <f t="shared" si="20"/>
        <v/>
      </c>
      <c r="O381" s="38" t="str">
        <f t="shared" si="21"/>
        <v/>
      </c>
      <c r="P381" s="37" t="str">
        <f t="shared" si="22"/>
        <v/>
      </c>
      <c r="Q381" s="37" t="str">
        <f t="shared" si="23"/>
        <v/>
      </c>
    </row>
    <row r="382" spans="1:17" x14ac:dyDescent="0.2">
      <c r="A382" s="41"/>
      <c r="B382" s="42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N382" s="38" t="str">
        <f t="shared" si="20"/>
        <v/>
      </c>
      <c r="O382" s="38" t="str">
        <f t="shared" si="21"/>
        <v/>
      </c>
      <c r="P382" s="37" t="str">
        <f t="shared" si="22"/>
        <v/>
      </c>
      <c r="Q382" s="37" t="str">
        <f t="shared" si="23"/>
        <v/>
      </c>
    </row>
    <row r="383" spans="1:17" x14ac:dyDescent="0.2">
      <c r="A383" s="41"/>
      <c r="B383" s="42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N383" s="38" t="str">
        <f t="shared" si="20"/>
        <v/>
      </c>
      <c r="O383" s="38" t="str">
        <f t="shared" si="21"/>
        <v/>
      </c>
      <c r="P383" s="37" t="str">
        <f t="shared" si="22"/>
        <v/>
      </c>
      <c r="Q383" s="37" t="str">
        <f t="shared" si="23"/>
        <v/>
      </c>
    </row>
    <row r="384" spans="1:17" x14ac:dyDescent="0.2">
      <c r="A384" s="41"/>
      <c r="B384" s="42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N384" s="38" t="str">
        <f t="shared" si="20"/>
        <v/>
      </c>
      <c r="O384" s="38" t="str">
        <f t="shared" si="21"/>
        <v/>
      </c>
      <c r="P384" s="37" t="str">
        <f t="shared" si="22"/>
        <v/>
      </c>
      <c r="Q384" s="37" t="str">
        <f t="shared" si="23"/>
        <v/>
      </c>
    </row>
    <row r="385" spans="1:17" x14ac:dyDescent="0.2">
      <c r="A385" s="41"/>
      <c r="B385" s="42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N385" s="38" t="str">
        <f t="shared" si="20"/>
        <v/>
      </c>
      <c r="O385" s="38" t="str">
        <f t="shared" si="21"/>
        <v/>
      </c>
      <c r="P385" s="37" t="str">
        <f t="shared" si="22"/>
        <v/>
      </c>
      <c r="Q385" s="37" t="str">
        <f t="shared" si="23"/>
        <v/>
      </c>
    </row>
    <row r="386" spans="1:17" x14ac:dyDescent="0.2">
      <c r="A386" s="41"/>
      <c r="B386" s="42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N386" s="38" t="str">
        <f t="shared" si="20"/>
        <v/>
      </c>
      <c r="O386" s="38" t="str">
        <f t="shared" si="21"/>
        <v/>
      </c>
      <c r="P386" s="37" t="str">
        <f t="shared" si="22"/>
        <v/>
      </c>
      <c r="Q386" s="37" t="str">
        <f t="shared" si="23"/>
        <v/>
      </c>
    </row>
    <row r="387" spans="1:17" x14ac:dyDescent="0.2">
      <c r="A387" s="41"/>
      <c r="B387" s="42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N387" s="38" t="str">
        <f t="shared" si="20"/>
        <v/>
      </c>
      <c r="O387" s="38" t="str">
        <f t="shared" si="21"/>
        <v/>
      </c>
      <c r="P387" s="37" t="str">
        <f t="shared" si="22"/>
        <v/>
      </c>
      <c r="Q387" s="37" t="str">
        <f t="shared" si="23"/>
        <v/>
      </c>
    </row>
    <row r="388" spans="1:17" x14ac:dyDescent="0.2">
      <c r="A388" s="41"/>
      <c r="B388" s="42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N388" s="38" t="str">
        <f t="shared" si="20"/>
        <v/>
      </c>
      <c r="O388" s="38" t="str">
        <f t="shared" si="21"/>
        <v/>
      </c>
      <c r="P388" s="37" t="str">
        <f t="shared" si="22"/>
        <v/>
      </c>
      <c r="Q388" s="37" t="str">
        <f t="shared" si="23"/>
        <v/>
      </c>
    </row>
    <row r="389" spans="1:17" x14ac:dyDescent="0.2">
      <c r="A389" s="41"/>
      <c r="B389" s="42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N389" s="38" t="str">
        <f t="shared" si="20"/>
        <v/>
      </c>
      <c r="O389" s="38" t="str">
        <f t="shared" si="21"/>
        <v/>
      </c>
      <c r="P389" s="37" t="str">
        <f t="shared" si="22"/>
        <v/>
      </c>
      <c r="Q389" s="37" t="str">
        <f t="shared" si="23"/>
        <v/>
      </c>
    </row>
    <row r="390" spans="1:17" x14ac:dyDescent="0.2">
      <c r="A390" s="41"/>
      <c r="B390" s="42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N390" s="38" t="str">
        <f t="shared" si="20"/>
        <v/>
      </c>
      <c r="O390" s="38" t="str">
        <f t="shared" si="21"/>
        <v/>
      </c>
      <c r="P390" s="37" t="str">
        <f t="shared" si="22"/>
        <v/>
      </c>
      <c r="Q390" s="37" t="str">
        <f t="shared" si="23"/>
        <v/>
      </c>
    </row>
    <row r="391" spans="1:17" x14ac:dyDescent="0.2">
      <c r="A391" s="41"/>
      <c r="B391" s="42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N391" s="38" t="str">
        <f t="shared" si="20"/>
        <v/>
      </c>
      <c r="O391" s="38" t="str">
        <f t="shared" si="21"/>
        <v/>
      </c>
      <c r="P391" s="37" t="str">
        <f t="shared" si="22"/>
        <v/>
      </c>
      <c r="Q391" s="37" t="str">
        <f t="shared" si="23"/>
        <v/>
      </c>
    </row>
    <row r="392" spans="1:17" x14ac:dyDescent="0.2">
      <c r="A392" s="41"/>
      <c r="B392" s="42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N392" s="38" t="str">
        <f t="shared" si="20"/>
        <v/>
      </c>
      <c r="O392" s="38" t="str">
        <f t="shared" si="21"/>
        <v/>
      </c>
      <c r="P392" s="37" t="str">
        <f t="shared" si="22"/>
        <v/>
      </c>
      <c r="Q392" s="37" t="str">
        <f t="shared" si="23"/>
        <v/>
      </c>
    </row>
    <row r="393" spans="1:17" x14ac:dyDescent="0.2">
      <c r="A393" s="41"/>
      <c r="B393" s="42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N393" s="38" t="str">
        <f t="shared" si="20"/>
        <v/>
      </c>
      <c r="O393" s="38" t="str">
        <f t="shared" si="21"/>
        <v/>
      </c>
      <c r="P393" s="37" t="str">
        <f t="shared" si="22"/>
        <v/>
      </c>
      <c r="Q393" s="37" t="str">
        <f t="shared" si="23"/>
        <v/>
      </c>
    </row>
    <row r="394" spans="1:17" x14ac:dyDescent="0.2">
      <c r="A394" s="41"/>
      <c r="B394" s="42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N394" s="38" t="str">
        <f t="shared" si="20"/>
        <v/>
      </c>
      <c r="O394" s="38" t="str">
        <f t="shared" si="21"/>
        <v/>
      </c>
      <c r="P394" s="37" t="str">
        <f t="shared" si="22"/>
        <v/>
      </c>
      <c r="Q394" s="37" t="str">
        <f t="shared" si="23"/>
        <v/>
      </c>
    </row>
    <row r="395" spans="1:17" x14ac:dyDescent="0.2">
      <c r="A395" s="41"/>
      <c r="B395" s="42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N395" s="38" t="str">
        <f t="shared" si="20"/>
        <v/>
      </c>
      <c r="O395" s="38" t="str">
        <f t="shared" si="21"/>
        <v/>
      </c>
      <c r="P395" s="37" t="str">
        <f t="shared" si="22"/>
        <v/>
      </c>
      <c r="Q395" s="37" t="str">
        <f t="shared" si="23"/>
        <v/>
      </c>
    </row>
    <row r="396" spans="1:17" x14ac:dyDescent="0.2">
      <c r="A396" s="41"/>
      <c r="B396" s="42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N396" s="38" t="str">
        <f t="shared" si="20"/>
        <v/>
      </c>
      <c r="O396" s="38" t="str">
        <f t="shared" si="21"/>
        <v/>
      </c>
      <c r="P396" s="37" t="str">
        <f t="shared" si="22"/>
        <v/>
      </c>
      <c r="Q396" s="37" t="str">
        <f t="shared" si="23"/>
        <v/>
      </c>
    </row>
    <row r="397" spans="1:17" x14ac:dyDescent="0.2">
      <c r="A397" s="41"/>
      <c r="B397" s="42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N397" s="38" t="str">
        <f t="shared" si="20"/>
        <v/>
      </c>
      <c r="O397" s="38" t="str">
        <f t="shared" si="21"/>
        <v/>
      </c>
      <c r="P397" s="37" t="str">
        <f t="shared" si="22"/>
        <v/>
      </c>
      <c r="Q397" s="37" t="str">
        <f t="shared" si="23"/>
        <v/>
      </c>
    </row>
    <row r="398" spans="1:17" x14ac:dyDescent="0.2">
      <c r="A398" s="41"/>
      <c r="B398" s="42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N398" s="38" t="str">
        <f t="shared" si="20"/>
        <v/>
      </c>
      <c r="O398" s="38" t="str">
        <f t="shared" si="21"/>
        <v/>
      </c>
      <c r="P398" s="37" t="str">
        <f t="shared" si="22"/>
        <v/>
      </c>
      <c r="Q398" s="37" t="str">
        <f t="shared" si="23"/>
        <v/>
      </c>
    </row>
    <row r="399" spans="1:17" x14ac:dyDescent="0.2">
      <c r="A399" s="41"/>
      <c r="B399" s="42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N399" s="38" t="str">
        <f t="shared" si="20"/>
        <v/>
      </c>
      <c r="O399" s="38" t="str">
        <f t="shared" si="21"/>
        <v/>
      </c>
      <c r="P399" s="37" t="str">
        <f t="shared" si="22"/>
        <v/>
      </c>
      <c r="Q399" s="37" t="str">
        <f t="shared" si="23"/>
        <v/>
      </c>
    </row>
    <row r="400" spans="1:17" x14ac:dyDescent="0.2">
      <c r="A400" s="41"/>
      <c r="B400" s="42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N400" s="38" t="str">
        <f t="shared" si="20"/>
        <v/>
      </c>
      <c r="O400" s="38" t="str">
        <f t="shared" si="21"/>
        <v/>
      </c>
      <c r="P400" s="37" t="str">
        <f t="shared" si="22"/>
        <v/>
      </c>
      <c r="Q400" s="37" t="str">
        <f t="shared" si="23"/>
        <v/>
      </c>
    </row>
    <row r="401" spans="1:17" x14ac:dyDescent="0.2">
      <c r="A401" s="41"/>
      <c r="B401" s="42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N401" s="38" t="str">
        <f t="shared" si="20"/>
        <v/>
      </c>
      <c r="O401" s="38" t="str">
        <f t="shared" si="21"/>
        <v/>
      </c>
      <c r="P401" s="37" t="str">
        <f t="shared" si="22"/>
        <v/>
      </c>
      <c r="Q401" s="37" t="str">
        <f t="shared" si="23"/>
        <v/>
      </c>
    </row>
    <row r="402" spans="1:17" x14ac:dyDescent="0.2">
      <c r="A402" s="41"/>
      <c r="B402" s="42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N402" s="38" t="str">
        <f t="shared" si="20"/>
        <v/>
      </c>
      <c r="O402" s="38" t="str">
        <f t="shared" si="21"/>
        <v/>
      </c>
      <c r="P402" s="37" t="str">
        <f t="shared" si="22"/>
        <v/>
      </c>
      <c r="Q402" s="37" t="str">
        <f t="shared" si="23"/>
        <v/>
      </c>
    </row>
    <row r="403" spans="1:17" x14ac:dyDescent="0.2">
      <c r="A403" s="41"/>
      <c r="B403" s="42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N403" s="38" t="str">
        <f t="shared" si="20"/>
        <v/>
      </c>
      <c r="O403" s="38" t="str">
        <f t="shared" si="21"/>
        <v/>
      </c>
      <c r="P403" s="37" t="str">
        <f t="shared" si="22"/>
        <v/>
      </c>
      <c r="Q403" s="37" t="str">
        <f t="shared" si="23"/>
        <v/>
      </c>
    </row>
    <row r="404" spans="1:17" x14ac:dyDescent="0.2">
      <c r="A404" s="41"/>
      <c r="B404" s="42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N404" s="38" t="str">
        <f t="shared" si="20"/>
        <v/>
      </c>
      <c r="O404" s="38" t="str">
        <f t="shared" si="21"/>
        <v/>
      </c>
      <c r="P404" s="37" t="str">
        <f t="shared" si="22"/>
        <v/>
      </c>
      <c r="Q404" s="37" t="str">
        <f t="shared" si="23"/>
        <v/>
      </c>
    </row>
    <row r="405" spans="1:17" x14ac:dyDescent="0.2">
      <c r="A405" s="41"/>
      <c r="B405" s="42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N405" s="38" t="str">
        <f t="shared" si="20"/>
        <v/>
      </c>
      <c r="O405" s="38" t="str">
        <f t="shared" si="21"/>
        <v/>
      </c>
      <c r="P405" s="37" t="str">
        <f t="shared" si="22"/>
        <v/>
      </c>
      <c r="Q405" s="37" t="str">
        <f t="shared" si="23"/>
        <v/>
      </c>
    </row>
    <row r="406" spans="1:17" x14ac:dyDescent="0.2">
      <c r="A406" s="41"/>
      <c r="B406" s="42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N406" s="38" t="str">
        <f t="shared" si="20"/>
        <v/>
      </c>
      <c r="O406" s="38" t="str">
        <f t="shared" si="21"/>
        <v/>
      </c>
      <c r="P406" s="37" t="str">
        <f t="shared" si="22"/>
        <v/>
      </c>
      <c r="Q406" s="37" t="str">
        <f t="shared" si="23"/>
        <v/>
      </c>
    </row>
    <row r="407" spans="1:17" x14ac:dyDescent="0.2">
      <c r="A407" s="41"/>
      <c r="B407" s="42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N407" s="38" t="str">
        <f t="shared" si="20"/>
        <v/>
      </c>
      <c r="O407" s="38" t="str">
        <f t="shared" si="21"/>
        <v/>
      </c>
      <c r="P407" s="37" t="str">
        <f t="shared" si="22"/>
        <v/>
      </c>
      <c r="Q407" s="37" t="str">
        <f t="shared" si="23"/>
        <v/>
      </c>
    </row>
    <row r="408" spans="1:17" x14ac:dyDescent="0.2">
      <c r="A408" s="41"/>
      <c r="B408" s="42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N408" s="38" t="str">
        <f t="shared" si="20"/>
        <v/>
      </c>
      <c r="O408" s="38" t="str">
        <f t="shared" si="21"/>
        <v/>
      </c>
      <c r="P408" s="37" t="str">
        <f t="shared" si="22"/>
        <v/>
      </c>
      <c r="Q408" s="37" t="str">
        <f t="shared" si="23"/>
        <v/>
      </c>
    </row>
    <row r="409" spans="1:17" x14ac:dyDescent="0.2">
      <c r="A409" s="41"/>
      <c r="B409" s="42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N409" s="38" t="str">
        <f t="shared" si="20"/>
        <v/>
      </c>
      <c r="O409" s="38" t="str">
        <f t="shared" si="21"/>
        <v/>
      </c>
      <c r="P409" s="37" t="str">
        <f t="shared" si="22"/>
        <v/>
      </c>
      <c r="Q409" s="37" t="str">
        <f t="shared" si="23"/>
        <v/>
      </c>
    </row>
    <row r="410" spans="1:17" x14ac:dyDescent="0.2">
      <c r="A410" s="41"/>
      <c r="B410" s="42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N410" s="38" t="str">
        <f t="shared" si="20"/>
        <v/>
      </c>
      <c r="O410" s="38" t="str">
        <f t="shared" si="21"/>
        <v/>
      </c>
      <c r="P410" s="37" t="str">
        <f t="shared" si="22"/>
        <v/>
      </c>
      <c r="Q410" s="37" t="str">
        <f t="shared" si="23"/>
        <v/>
      </c>
    </row>
    <row r="411" spans="1:17" x14ac:dyDescent="0.2">
      <c r="A411" s="41"/>
      <c r="B411" s="42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N411" s="38" t="str">
        <f t="shared" si="20"/>
        <v/>
      </c>
      <c r="O411" s="38" t="str">
        <f t="shared" si="21"/>
        <v/>
      </c>
      <c r="P411" s="37" t="str">
        <f t="shared" si="22"/>
        <v/>
      </c>
      <c r="Q411" s="37" t="str">
        <f t="shared" si="23"/>
        <v/>
      </c>
    </row>
    <row r="412" spans="1:17" x14ac:dyDescent="0.2">
      <c r="A412" s="41"/>
      <c r="B412" s="42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N412" s="38" t="str">
        <f t="shared" si="20"/>
        <v/>
      </c>
      <c r="O412" s="38" t="str">
        <f t="shared" si="21"/>
        <v/>
      </c>
      <c r="P412" s="37" t="str">
        <f t="shared" si="22"/>
        <v/>
      </c>
      <c r="Q412" s="37" t="str">
        <f t="shared" si="23"/>
        <v/>
      </c>
    </row>
    <row r="413" spans="1:17" x14ac:dyDescent="0.2">
      <c r="A413" s="41"/>
      <c r="B413" s="42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N413" s="38" t="str">
        <f t="shared" ref="N413:N476" si="24">IF(LEFT($L413,21)="Priority changed from",MID($L413,23,1),"")</f>
        <v/>
      </c>
      <c r="O413" s="38" t="str">
        <f t="shared" ref="O413:O476" si="25">IF(LEFT($L413,21)="Priority changed from",MID($L413,28,1),"")</f>
        <v/>
      </c>
      <c r="P413" s="37" t="str">
        <f t="shared" ref="P413:P476" si="26">IFERROR(IF(E413=1,"Yes",IF(OR(VALUE(N413)=1,VALUE(O413)=1),"Yes","No")),"")</f>
        <v/>
      </c>
      <c r="Q413" s="37" t="str">
        <f t="shared" ref="Q413:Q476" si="27">IFERROR(IF(P413="Yes","No",IF(E413=2,"Yes",IF(OR(VALUE(N413)=2,VALUE(O413)=2),"Yes","No"))),"")</f>
        <v/>
      </c>
    </row>
    <row r="414" spans="1:17" x14ac:dyDescent="0.2">
      <c r="A414" s="41"/>
      <c r="B414" s="42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N414" s="38" t="str">
        <f t="shared" si="24"/>
        <v/>
      </c>
      <c r="O414" s="38" t="str">
        <f t="shared" si="25"/>
        <v/>
      </c>
      <c r="P414" s="37" t="str">
        <f t="shared" si="26"/>
        <v/>
      </c>
      <c r="Q414" s="37" t="str">
        <f t="shared" si="27"/>
        <v/>
      </c>
    </row>
    <row r="415" spans="1:17" x14ac:dyDescent="0.2">
      <c r="A415" s="64"/>
      <c r="B415" s="42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N415" s="38" t="str">
        <f t="shared" si="24"/>
        <v/>
      </c>
      <c r="O415" s="38" t="str">
        <f t="shared" si="25"/>
        <v/>
      </c>
      <c r="P415" s="37" t="str">
        <f t="shared" si="26"/>
        <v/>
      </c>
      <c r="Q415" s="37" t="str">
        <f t="shared" si="27"/>
        <v/>
      </c>
    </row>
    <row r="416" spans="1:17" x14ac:dyDescent="0.2">
      <c r="A416" s="41"/>
      <c r="B416" s="42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N416" s="38" t="str">
        <f t="shared" si="24"/>
        <v/>
      </c>
      <c r="O416" s="38" t="str">
        <f t="shared" si="25"/>
        <v/>
      </c>
      <c r="P416" s="37" t="str">
        <f t="shared" si="26"/>
        <v/>
      </c>
      <c r="Q416" s="37" t="str">
        <f t="shared" si="27"/>
        <v/>
      </c>
    </row>
    <row r="417" spans="1:17" x14ac:dyDescent="0.2">
      <c r="A417" s="41"/>
      <c r="B417" s="42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N417" s="38" t="str">
        <f t="shared" si="24"/>
        <v/>
      </c>
      <c r="O417" s="38" t="str">
        <f t="shared" si="25"/>
        <v/>
      </c>
      <c r="P417" s="37" t="str">
        <f t="shared" si="26"/>
        <v/>
      </c>
      <c r="Q417" s="37" t="str">
        <f t="shared" si="27"/>
        <v/>
      </c>
    </row>
    <row r="418" spans="1:17" x14ac:dyDescent="0.2">
      <c r="A418" s="41"/>
      <c r="B418" s="42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N418" s="38" t="str">
        <f t="shared" si="24"/>
        <v/>
      </c>
      <c r="O418" s="38" t="str">
        <f t="shared" si="25"/>
        <v/>
      </c>
      <c r="P418" s="37" t="str">
        <f t="shared" si="26"/>
        <v/>
      </c>
      <c r="Q418" s="37" t="str">
        <f t="shared" si="27"/>
        <v/>
      </c>
    </row>
    <row r="419" spans="1:17" x14ac:dyDescent="0.2">
      <c r="A419" s="41"/>
      <c r="B419" s="42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N419" s="38" t="str">
        <f t="shared" si="24"/>
        <v/>
      </c>
      <c r="O419" s="38" t="str">
        <f t="shared" si="25"/>
        <v/>
      </c>
      <c r="P419" s="37" t="str">
        <f t="shared" si="26"/>
        <v/>
      </c>
      <c r="Q419" s="37" t="str">
        <f t="shared" si="27"/>
        <v/>
      </c>
    </row>
    <row r="420" spans="1:17" x14ac:dyDescent="0.2">
      <c r="A420" s="41"/>
      <c r="B420" s="42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N420" s="38" t="str">
        <f t="shared" si="24"/>
        <v/>
      </c>
      <c r="O420" s="38" t="str">
        <f t="shared" si="25"/>
        <v/>
      </c>
      <c r="P420" s="37" t="str">
        <f t="shared" si="26"/>
        <v/>
      </c>
      <c r="Q420" s="37" t="str">
        <f t="shared" si="27"/>
        <v/>
      </c>
    </row>
    <row r="421" spans="1:17" x14ac:dyDescent="0.2">
      <c r="A421" s="41"/>
      <c r="B421" s="42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N421" s="38" t="str">
        <f t="shared" si="24"/>
        <v/>
      </c>
      <c r="O421" s="38" t="str">
        <f t="shared" si="25"/>
        <v/>
      </c>
      <c r="P421" s="37" t="str">
        <f t="shared" si="26"/>
        <v/>
      </c>
      <c r="Q421" s="37" t="str">
        <f t="shared" si="27"/>
        <v/>
      </c>
    </row>
    <row r="422" spans="1:17" x14ac:dyDescent="0.2">
      <c r="A422" s="41"/>
      <c r="B422" s="42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N422" s="38" t="str">
        <f t="shared" si="24"/>
        <v/>
      </c>
      <c r="O422" s="38" t="str">
        <f t="shared" si="25"/>
        <v/>
      </c>
      <c r="P422" s="37" t="str">
        <f t="shared" si="26"/>
        <v/>
      </c>
      <c r="Q422" s="37" t="str">
        <f t="shared" si="27"/>
        <v/>
      </c>
    </row>
    <row r="423" spans="1:17" x14ac:dyDescent="0.2">
      <c r="A423" s="41"/>
      <c r="B423" s="42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N423" s="38" t="str">
        <f t="shared" si="24"/>
        <v/>
      </c>
      <c r="O423" s="38" t="str">
        <f t="shared" si="25"/>
        <v/>
      </c>
      <c r="P423" s="37" t="str">
        <f t="shared" si="26"/>
        <v/>
      </c>
      <c r="Q423" s="37" t="str">
        <f t="shared" si="27"/>
        <v/>
      </c>
    </row>
    <row r="424" spans="1:17" x14ac:dyDescent="0.2">
      <c r="A424" s="41"/>
      <c r="B424" s="42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N424" s="38" t="str">
        <f t="shared" si="24"/>
        <v/>
      </c>
      <c r="O424" s="38" t="str">
        <f t="shared" si="25"/>
        <v/>
      </c>
      <c r="P424" s="37" t="str">
        <f t="shared" si="26"/>
        <v/>
      </c>
      <c r="Q424" s="37" t="str">
        <f t="shared" si="27"/>
        <v/>
      </c>
    </row>
    <row r="425" spans="1:17" x14ac:dyDescent="0.2">
      <c r="A425" s="41"/>
      <c r="B425" s="42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N425" s="38" t="str">
        <f t="shared" si="24"/>
        <v/>
      </c>
      <c r="O425" s="38" t="str">
        <f t="shared" si="25"/>
        <v/>
      </c>
      <c r="P425" s="37" t="str">
        <f t="shared" si="26"/>
        <v/>
      </c>
      <c r="Q425" s="37" t="str">
        <f t="shared" si="27"/>
        <v/>
      </c>
    </row>
    <row r="426" spans="1:17" x14ac:dyDescent="0.2">
      <c r="A426" s="41"/>
      <c r="B426" s="42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N426" s="38" t="str">
        <f t="shared" si="24"/>
        <v/>
      </c>
      <c r="O426" s="38" t="str">
        <f t="shared" si="25"/>
        <v/>
      </c>
      <c r="P426" s="37" t="str">
        <f t="shared" si="26"/>
        <v/>
      </c>
      <c r="Q426" s="37" t="str">
        <f t="shared" si="27"/>
        <v/>
      </c>
    </row>
    <row r="427" spans="1:17" x14ac:dyDescent="0.2">
      <c r="A427" s="41"/>
      <c r="B427" s="42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N427" s="38" t="str">
        <f t="shared" si="24"/>
        <v/>
      </c>
      <c r="O427" s="38" t="str">
        <f t="shared" si="25"/>
        <v/>
      </c>
      <c r="P427" s="37" t="str">
        <f t="shared" si="26"/>
        <v/>
      </c>
      <c r="Q427" s="37" t="str">
        <f t="shared" si="27"/>
        <v/>
      </c>
    </row>
    <row r="428" spans="1:17" x14ac:dyDescent="0.2">
      <c r="A428" s="41"/>
      <c r="B428" s="42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N428" s="38" t="str">
        <f t="shared" si="24"/>
        <v/>
      </c>
      <c r="O428" s="38" t="str">
        <f t="shared" si="25"/>
        <v/>
      </c>
      <c r="P428" s="37" t="str">
        <f t="shared" si="26"/>
        <v/>
      </c>
      <c r="Q428" s="37" t="str">
        <f t="shared" si="27"/>
        <v/>
      </c>
    </row>
    <row r="429" spans="1:17" x14ac:dyDescent="0.2">
      <c r="A429" s="41"/>
      <c r="B429" s="42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N429" s="38" t="str">
        <f t="shared" si="24"/>
        <v/>
      </c>
      <c r="O429" s="38" t="str">
        <f t="shared" si="25"/>
        <v/>
      </c>
      <c r="P429" s="37" t="str">
        <f t="shared" si="26"/>
        <v/>
      </c>
      <c r="Q429" s="37" t="str">
        <f t="shared" si="27"/>
        <v/>
      </c>
    </row>
    <row r="430" spans="1:17" x14ac:dyDescent="0.2">
      <c r="A430" s="41"/>
      <c r="B430" s="42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N430" s="38" t="str">
        <f t="shared" si="24"/>
        <v/>
      </c>
      <c r="O430" s="38" t="str">
        <f t="shared" si="25"/>
        <v/>
      </c>
      <c r="P430" s="37" t="str">
        <f t="shared" si="26"/>
        <v/>
      </c>
      <c r="Q430" s="37" t="str">
        <f t="shared" si="27"/>
        <v/>
      </c>
    </row>
    <row r="431" spans="1:17" x14ac:dyDescent="0.2">
      <c r="A431" s="41"/>
      <c r="B431" s="42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N431" s="38" t="str">
        <f t="shared" si="24"/>
        <v/>
      </c>
      <c r="O431" s="38" t="str">
        <f t="shared" si="25"/>
        <v/>
      </c>
      <c r="P431" s="37" t="str">
        <f t="shared" si="26"/>
        <v/>
      </c>
      <c r="Q431" s="37" t="str">
        <f t="shared" si="27"/>
        <v/>
      </c>
    </row>
    <row r="432" spans="1:17" x14ac:dyDescent="0.2">
      <c r="A432" s="41"/>
      <c r="B432" s="42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N432" s="38" t="str">
        <f t="shared" si="24"/>
        <v/>
      </c>
      <c r="O432" s="38" t="str">
        <f t="shared" si="25"/>
        <v/>
      </c>
      <c r="P432" s="37" t="str">
        <f t="shared" si="26"/>
        <v/>
      </c>
      <c r="Q432" s="37" t="str">
        <f t="shared" si="27"/>
        <v/>
      </c>
    </row>
    <row r="433" spans="1:17" x14ac:dyDescent="0.2">
      <c r="A433" s="41"/>
      <c r="B433" s="42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N433" s="38" t="str">
        <f t="shared" si="24"/>
        <v/>
      </c>
      <c r="O433" s="38" t="str">
        <f t="shared" si="25"/>
        <v/>
      </c>
      <c r="P433" s="37" t="str">
        <f t="shared" si="26"/>
        <v/>
      </c>
      <c r="Q433" s="37" t="str">
        <f t="shared" si="27"/>
        <v/>
      </c>
    </row>
    <row r="434" spans="1:17" x14ac:dyDescent="0.2">
      <c r="A434" s="41"/>
      <c r="B434" s="42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N434" s="38" t="str">
        <f t="shared" si="24"/>
        <v/>
      </c>
      <c r="O434" s="38" t="str">
        <f t="shared" si="25"/>
        <v/>
      </c>
      <c r="P434" s="37" t="str">
        <f t="shared" si="26"/>
        <v/>
      </c>
      <c r="Q434" s="37" t="str">
        <f t="shared" si="27"/>
        <v/>
      </c>
    </row>
    <row r="435" spans="1:17" x14ac:dyDescent="0.2">
      <c r="A435" s="41"/>
      <c r="B435" s="42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N435" s="38" t="str">
        <f t="shared" si="24"/>
        <v/>
      </c>
      <c r="O435" s="38" t="str">
        <f t="shared" si="25"/>
        <v/>
      </c>
      <c r="P435" s="37" t="str">
        <f t="shared" si="26"/>
        <v/>
      </c>
      <c r="Q435" s="37" t="str">
        <f t="shared" si="27"/>
        <v/>
      </c>
    </row>
    <row r="436" spans="1:17" x14ac:dyDescent="0.2">
      <c r="A436" s="41"/>
      <c r="B436" s="42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N436" s="38" t="str">
        <f t="shared" si="24"/>
        <v/>
      </c>
      <c r="O436" s="38" t="str">
        <f t="shared" si="25"/>
        <v/>
      </c>
      <c r="P436" s="37" t="str">
        <f t="shared" si="26"/>
        <v/>
      </c>
      <c r="Q436" s="37" t="str">
        <f t="shared" si="27"/>
        <v/>
      </c>
    </row>
    <row r="437" spans="1:17" x14ac:dyDescent="0.2">
      <c r="A437" s="41"/>
      <c r="B437" s="42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N437" s="38" t="str">
        <f t="shared" si="24"/>
        <v/>
      </c>
      <c r="O437" s="38" t="str">
        <f t="shared" si="25"/>
        <v/>
      </c>
      <c r="P437" s="37" t="str">
        <f t="shared" si="26"/>
        <v/>
      </c>
      <c r="Q437" s="37" t="str">
        <f t="shared" si="27"/>
        <v/>
      </c>
    </row>
    <row r="438" spans="1:17" x14ac:dyDescent="0.2">
      <c r="A438" s="41"/>
      <c r="B438" s="42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N438" s="38" t="str">
        <f t="shared" si="24"/>
        <v/>
      </c>
      <c r="O438" s="38" t="str">
        <f t="shared" si="25"/>
        <v/>
      </c>
      <c r="P438" s="37" t="str">
        <f t="shared" si="26"/>
        <v/>
      </c>
      <c r="Q438" s="37" t="str">
        <f t="shared" si="27"/>
        <v/>
      </c>
    </row>
    <row r="439" spans="1:17" x14ac:dyDescent="0.2">
      <c r="A439" s="41"/>
      <c r="B439" s="42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N439" s="38" t="str">
        <f t="shared" si="24"/>
        <v/>
      </c>
      <c r="O439" s="38" t="str">
        <f t="shared" si="25"/>
        <v/>
      </c>
      <c r="P439" s="37" t="str">
        <f t="shared" si="26"/>
        <v/>
      </c>
      <c r="Q439" s="37" t="str">
        <f t="shared" si="27"/>
        <v/>
      </c>
    </row>
    <row r="440" spans="1:17" x14ac:dyDescent="0.2">
      <c r="A440" s="41"/>
      <c r="B440" s="42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N440" s="38" t="str">
        <f t="shared" si="24"/>
        <v/>
      </c>
      <c r="O440" s="38" t="str">
        <f t="shared" si="25"/>
        <v/>
      </c>
      <c r="P440" s="37" t="str">
        <f t="shared" si="26"/>
        <v/>
      </c>
      <c r="Q440" s="37" t="str">
        <f t="shared" si="27"/>
        <v/>
      </c>
    </row>
    <row r="441" spans="1:17" x14ac:dyDescent="0.2">
      <c r="A441" s="41"/>
      <c r="B441" s="42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N441" s="38" t="str">
        <f t="shared" si="24"/>
        <v/>
      </c>
      <c r="O441" s="38" t="str">
        <f t="shared" si="25"/>
        <v/>
      </c>
      <c r="P441" s="37" t="str">
        <f t="shared" si="26"/>
        <v/>
      </c>
      <c r="Q441" s="37" t="str">
        <f t="shared" si="27"/>
        <v/>
      </c>
    </row>
    <row r="442" spans="1:17" x14ac:dyDescent="0.2">
      <c r="A442" s="41"/>
      <c r="B442" s="42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N442" s="38" t="str">
        <f t="shared" si="24"/>
        <v/>
      </c>
      <c r="O442" s="38" t="str">
        <f t="shared" si="25"/>
        <v/>
      </c>
      <c r="P442" s="37" t="str">
        <f t="shared" si="26"/>
        <v/>
      </c>
      <c r="Q442" s="37" t="str">
        <f t="shared" si="27"/>
        <v/>
      </c>
    </row>
    <row r="443" spans="1:17" x14ac:dyDescent="0.2">
      <c r="A443" s="41"/>
      <c r="B443" s="42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N443" s="38" t="str">
        <f t="shared" si="24"/>
        <v/>
      </c>
      <c r="O443" s="38" t="str">
        <f t="shared" si="25"/>
        <v/>
      </c>
      <c r="P443" s="37" t="str">
        <f t="shared" si="26"/>
        <v/>
      </c>
      <c r="Q443" s="37" t="str">
        <f t="shared" si="27"/>
        <v/>
      </c>
    </row>
    <row r="444" spans="1:17" x14ac:dyDescent="0.2">
      <c r="A444" s="41"/>
      <c r="B444" s="42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N444" s="38" t="str">
        <f t="shared" si="24"/>
        <v/>
      </c>
      <c r="O444" s="38" t="str">
        <f t="shared" si="25"/>
        <v/>
      </c>
      <c r="P444" s="37" t="str">
        <f t="shared" si="26"/>
        <v/>
      </c>
      <c r="Q444" s="37" t="str">
        <f t="shared" si="27"/>
        <v/>
      </c>
    </row>
    <row r="445" spans="1:17" x14ac:dyDescent="0.2">
      <c r="A445" s="41"/>
      <c r="B445" s="42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N445" s="38" t="str">
        <f t="shared" si="24"/>
        <v/>
      </c>
      <c r="O445" s="38" t="str">
        <f t="shared" si="25"/>
        <v/>
      </c>
      <c r="P445" s="37" t="str">
        <f t="shared" si="26"/>
        <v/>
      </c>
      <c r="Q445" s="37" t="str">
        <f t="shared" si="27"/>
        <v/>
      </c>
    </row>
    <row r="446" spans="1:17" x14ac:dyDescent="0.2">
      <c r="A446" s="41"/>
      <c r="B446" s="42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N446" s="38" t="str">
        <f t="shared" si="24"/>
        <v/>
      </c>
      <c r="O446" s="38" t="str">
        <f t="shared" si="25"/>
        <v/>
      </c>
      <c r="P446" s="37" t="str">
        <f t="shared" si="26"/>
        <v/>
      </c>
      <c r="Q446" s="37" t="str">
        <f t="shared" si="27"/>
        <v/>
      </c>
    </row>
    <row r="447" spans="1:17" x14ac:dyDescent="0.2">
      <c r="A447" s="41"/>
      <c r="B447" s="42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N447" s="38" t="str">
        <f t="shared" si="24"/>
        <v/>
      </c>
      <c r="O447" s="38" t="str">
        <f t="shared" si="25"/>
        <v/>
      </c>
      <c r="P447" s="37" t="str">
        <f t="shared" si="26"/>
        <v/>
      </c>
      <c r="Q447" s="37" t="str">
        <f t="shared" si="27"/>
        <v/>
      </c>
    </row>
    <row r="448" spans="1:17" x14ac:dyDescent="0.2">
      <c r="A448" s="41"/>
      <c r="B448" s="42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N448" s="38" t="str">
        <f t="shared" si="24"/>
        <v/>
      </c>
      <c r="O448" s="38" t="str">
        <f t="shared" si="25"/>
        <v/>
      </c>
      <c r="P448" s="37" t="str">
        <f t="shared" si="26"/>
        <v/>
      </c>
      <c r="Q448" s="37" t="str">
        <f t="shared" si="27"/>
        <v/>
      </c>
    </row>
    <row r="449" spans="1:17" x14ac:dyDescent="0.2">
      <c r="A449" s="41"/>
      <c r="B449" s="42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N449" s="38" t="str">
        <f t="shared" si="24"/>
        <v/>
      </c>
      <c r="O449" s="38" t="str">
        <f t="shared" si="25"/>
        <v/>
      </c>
      <c r="P449" s="37" t="str">
        <f t="shared" si="26"/>
        <v/>
      </c>
      <c r="Q449" s="37" t="str">
        <f t="shared" si="27"/>
        <v/>
      </c>
    </row>
    <row r="450" spans="1:17" x14ac:dyDescent="0.2">
      <c r="A450" s="41"/>
      <c r="B450" s="42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N450" s="38" t="str">
        <f t="shared" si="24"/>
        <v/>
      </c>
      <c r="O450" s="38" t="str">
        <f t="shared" si="25"/>
        <v/>
      </c>
      <c r="P450" s="37" t="str">
        <f t="shared" si="26"/>
        <v/>
      </c>
      <c r="Q450" s="37" t="str">
        <f t="shared" si="27"/>
        <v/>
      </c>
    </row>
    <row r="451" spans="1:17" x14ac:dyDescent="0.2">
      <c r="A451" s="41"/>
      <c r="B451" s="42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N451" s="38" t="str">
        <f t="shared" si="24"/>
        <v/>
      </c>
      <c r="O451" s="38" t="str">
        <f t="shared" si="25"/>
        <v/>
      </c>
      <c r="P451" s="37" t="str">
        <f t="shared" si="26"/>
        <v/>
      </c>
      <c r="Q451" s="37" t="str">
        <f t="shared" si="27"/>
        <v/>
      </c>
    </row>
    <row r="452" spans="1:17" x14ac:dyDescent="0.2">
      <c r="A452" s="41"/>
      <c r="B452" s="42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N452" s="38" t="str">
        <f t="shared" si="24"/>
        <v/>
      </c>
      <c r="O452" s="38" t="str">
        <f t="shared" si="25"/>
        <v/>
      </c>
      <c r="P452" s="37" t="str">
        <f t="shared" si="26"/>
        <v/>
      </c>
      <c r="Q452" s="37" t="str">
        <f t="shared" si="27"/>
        <v/>
      </c>
    </row>
    <row r="453" spans="1:17" x14ac:dyDescent="0.2">
      <c r="A453" s="41"/>
      <c r="B453" s="42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N453" s="38" t="str">
        <f t="shared" si="24"/>
        <v/>
      </c>
      <c r="O453" s="38" t="str">
        <f t="shared" si="25"/>
        <v/>
      </c>
      <c r="P453" s="37" t="str">
        <f t="shared" si="26"/>
        <v/>
      </c>
      <c r="Q453" s="37" t="str">
        <f t="shared" si="27"/>
        <v/>
      </c>
    </row>
    <row r="454" spans="1:17" x14ac:dyDescent="0.2">
      <c r="A454" s="41"/>
      <c r="B454" s="42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N454" s="38" t="str">
        <f t="shared" si="24"/>
        <v/>
      </c>
      <c r="O454" s="38" t="str">
        <f t="shared" si="25"/>
        <v/>
      </c>
      <c r="P454" s="37" t="str">
        <f t="shared" si="26"/>
        <v/>
      </c>
      <c r="Q454" s="37" t="str">
        <f t="shared" si="27"/>
        <v/>
      </c>
    </row>
    <row r="455" spans="1:17" x14ac:dyDescent="0.2">
      <c r="A455" s="41"/>
      <c r="B455" s="42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N455" s="38" t="str">
        <f t="shared" si="24"/>
        <v/>
      </c>
      <c r="O455" s="38" t="str">
        <f t="shared" si="25"/>
        <v/>
      </c>
      <c r="P455" s="37" t="str">
        <f t="shared" si="26"/>
        <v/>
      </c>
      <c r="Q455" s="37" t="str">
        <f t="shared" si="27"/>
        <v/>
      </c>
    </row>
    <row r="456" spans="1:17" x14ac:dyDescent="0.2">
      <c r="A456" s="41"/>
      <c r="B456" s="42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N456" s="38" t="str">
        <f t="shared" si="24"/>
        <v/>
      </c>
      <c r="O456" s="38" t="str">
        <f t="shared" si="25"/>
        <v/>
      </c>
      <c r="P456" s="37" t="str">
        <f t="shared" si="26"/>
        <v/>
      </c>
      <c r="Q456" s="37" t="str">
        <f t="shared" si="27"/>
        <v/>
      </c>
    </row>
    <row r="457" spans="1:17" x14ac:dyDescent="0.2">
      <c r="A457" s="41"/>
      <c r="B457" s="42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N457" s="38" t="str">
        <f t="shared" si="24"/>
        <v/>
      </c>
      <c r="O457" s="38" t="str">
        <f t="shared" si="25"/>
        <v/>
      </c>
      <c r="P457" s="37" t="str">
        <f t="shared" si="26"/>
        <v/>
      </c>
      <c r="Q457" s="37" t="str">
        <f t="shared" si="27"/>
        <v/>
      </c>
    </row>
    <row r="458" spans="1:17" x14ac:dyDescent="0.2">
      <c r="A458" s="41"/>
      <c r="B458" s="42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N458" s="38" t="str">
        <f t="shared" si="24"/>
        <v/>
      </c>
      <c r="O458" s="38" t="str">
        <f t="shared" si="25"/>
        <v/>
      </c>
      <c r="P458" s="37" t="str">
        <f t="shared" si="26"/>
        <v/>
      </c>
      <c r="Q458" s="37" t="str">
        <f t="shared" si="27"/>
        <v/>
      </c>
    </row>
    <row r="459" spans="1:17" x14ac:dyDescent="0.2">
      <c r="A459" s="41"/>
      <c r="B459" s="42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N459" s="38" t="str">
        <f t="shared" si="24"/>
        <v/>
      </c>
      <c r="O459" s="38" t="str">
        <f t="shared" si="25"/>
        <v/>
      </c>
      <c r="P459" s="37" t="str">
        <f t="shared" si="26"/>
        <v/>
      </c>
      <c r="Q459" s="37" t="str">
        <f t="shared" si="27"/>
        <v/>
      </c>
    </row>
    <row r="460" spans="1:17" x14ac:dyDescent="0.2">
      <c r="A460" s="41"/>
      <c r="B460" s="42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N460" s="38" t="str">
        <f t="shared" si="24"/>
        <v/>
      </c>
      <c r="O460" s="38" t="str">
        <f t="shared" si="25"/>
        <v/>
      </c>
      <c r="P460" s="37" t="str">
        <f t="shared" si="26"/>
        <v/>
      </c>
      <c r="Q460" s="37" t="str">
        <f t="shared" si="27"/>
        <v/>
      </c>
    </row>
    <row r="461" spans="1:17" x14ac:dyDescent="0.2">
      <c r="A461" s="41"/>
      <c r="B461" s="42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N461" s="38" t="str">
        <f t="shared" si="24"/>
        <v/>
      </c>
      <c r="O461" s="38" t="str">
        <f t="shared" si="25"/>
        <v/>
      </c>
      <c r="P461" s="37" t="str">
        <f t="shared" si="26"/>
        <v/>
      </c>
      <c r="Q461" s="37" t="str">
        <f t="shared" si="27"/>
        <v/>
      </c>
    </row>
    <row r="462" spans="1:17" x14ac:dyDescent="0.2">
      <c r="A462" s="41"/>
      <c r="B462" s="42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N462" s="38" t="str">
        <f t="shared" si="24"/>
        <v/>
      </c>
      <c r="O462" s="38" t="str">
        <f t="shared" si="25"/>
        <v/>
      </c>
      <c r="P462" s="37" t="str">
        <f t="shared" si="26"/>
        <v/>
      </c>
      <c r="Q462" s="37" t="str">
        <f t="shared" si="27"/>
        <v/>
      </c>
    </row>
    <row r="463" spans="1:17" x14ac:dyDescent="0.2">
      <c r="A463" s="41"/>
      <c r="B463" s="42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N463" s="38" t="str">
        <f t="shared" si="24"/>
        <v/>
      </c>
      <c r="O463" s="38" t="str">
        <f t="shared" si="25"/>
        <v/>
      </c>
      <c r="P463" s="37" t="str">
        <f t="shared" si="26"/>
        <v/>
      </c>
      <c r="Q463" s="37" t="str">
        <f t="shared" si="27"/>
        <v/>
      </c>
    </row>
    <row r="464" spans="1:17" x14ac:dyDescent="0.2">
      <c r="A464" s="41"/>
      <c r="B464" s="42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N464" s="38" t="str">
        <f t="shared" si="24"/>
        <v/>
      </c>
      <c r="O464" s="38" t="str">
        <f t="shared" si="25"/>
        <v/>
      </c>
      <c r="P464" s="37" t="str">
        <f t="shared" si="26"/>
        <v/>
      </c>
      <c r="Q464" s="37" t="str">
        <f t="shared" si="27"/>
        <v/>
      </c>
    </row>
    <row r="465" spans="1:17" x14ac:dyDescent="0.2">
      <c r="A465" s="41"/>
      <c r="B465" s="42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N465" s="38" t="str">
        <f t="shared" si="24"/>
        <v/>
      </c>
      <c r="O465" s="38" t="str">
        <f t="shared" si="25"/>
        <v/>
      </c>
      <c r="P465" s="37" t="str">
        <f t="shared" si="26"/>
        <v/>
      </c>
      <c r="Q465" s="37" t="str">
        <f t="shared" si="27"/>
        <v/>
      </c>
    </row>
    <row r="466" spans="1:17" x14ac:dyDescent="0.2">
      <c r="A466" s="41"/>
      <c r="B466" s="42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N466" s="38" t="str">
        <f t="shared" si="24"/>
        <v/>
      </c>
      <c r="O466" s="38" t="str">
        <f t="shared" si="25"/>
        <v/>
      </c>
      <c r="P466" s="37" t="str">
        <f t="shared" si="26"/>
        <v/>
      </c>
      <c r="Q466" s="37" t="str">
        <f t="shared" si="27"/>
        <v/>
      </c>
    </row>
    <row r="467" spans="1:17" x14ac:dyDescent="0.2">
      <c r="A467" s="41"/>
      <c r="B467" s="42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N467" s="38" t="str">
        <f t="shared" si="24"/>
        <v/>
      </c>
      <c r="O467" s="38" t="str">
        <f t="shared" si="25"/>
        <v/>
      </c>
      <c r="P467" s="37" t="str">
        <f t="shared" si="26"/>
        <v/>
      </c>
      <c r="Q467" s="37" t="str">
        <f t="shared" si="27"/>
        <v/>
      </c>
    </row>
    <row r="468" spans="1:17" x14ac:dyDescent="0.2">
      <c r="A468" s="41"/>
      <c r="B468" s="42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N468" s="38" t="str">
        <f t="shared" si="24"/>
        <v/>
      </c>
      <c r="O468" s="38" t="str">
        <f t="shared" si="25"/>
        <v/>
      </c>
      <c r="P468" s="37" t="str">
        <f t="shared" si="26"/>
        <v/>
      </c>
      <c r="Q468" s="37" t="str">
        <f t="shared" si="27"/>
        <v/>
      </c>
    </row>
    <row r="469" spans="1:17" x14ac:dyDescent="0.2">
      <c r="A469" s="41"/>
      <c r="B469" s="42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N469" s="38" t="str">
        <f t="shared" si="24"/>
        <v/>
      </c>
      <c r="O469" s="38" t="str">
        <f t="shared" si="25"/>
        <v/>
      </c>
      <c r="P469" s="37" t="str">
        <f t="shared" si="26"/>
        <v/>
      </c>
      <c r="Q469" s="37" t="str">
        <f t="shared" si="27"/>
        <v/>
      </c>
    </row>
    <row r="470" spans="1:17" x14ac:dyDescent="0.2">
      <c r="A470" s="41"/>
      <c r="B470" s="42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N470" s="38" t="str">
        <f t="shared" si="24"/>
        <v/>
      </c>
      <c r="O470" s="38" t="str">
        <f t="shared" si="25"/>
        <v/>
      </c>
      <c r="P470" s="37" t="str">
        <f t="shared" si="26"/>
        <v/>
      </c>
      <c r="Q470" s="37" t="str">
        <f t="shared" si="27"/>
        <v/>
      </c>
    </row>
    <row r="471" spans="1:17" x14ac:dyDescent="0.2">
      <c r="A471" s="41"/>
      <c r="B471" s="42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N471" s="38" t="str">
        <f t="shared" si="24"/>
        <v/>
      </c>
      <c r="O471" s="38" t="str">
        <f t="shared" si="25"/>
        <v/>
      </c>
      <c r="P471" s="37" t="str">
        <f t="shared" si="26"/>
        <v/>
      </c>
      <c r="Q471" s="37" t="str">
        <f t="shared" si="27"/>
        <v/>
      </c>
    </row>
    <row r="472" spans="1:17" x14ac:dyDescent="0.2">
      <c r="A472" s="41"/>
      <c r="B472" s="42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N472" s="38" t="str">
        <f t="shared" si="24"/>
        <v/>
      </c>
      <c r="O472" s="38" t="str">
        <f t="shared" si="25"/>
        <v/>
      </c>
      <c r="P472" s="37" t="str">
        <f t="shared" si="26"/>
        <v/>
      </c>
      <c r="Q472" s="37" t="str">
        <f t="shared" si="27"/>
        <v/>
      </c>
    </row>
    <row r="473" spans="1:17" x14ac:dyDescent="0.2">
      <c r="A473" s="41"/>
      <c r="B473" s="42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N473" s="38" t="str">
        <f t="shared" si="24"/>
        <v/>
      </c>
      <c r="O473" s="38" t="str">
        <f t="shared" si="25"/>
        <v/>
      </c>
      <c r="P473" s="37" t="str">
        <f t="shared" si="26"/>
        <v/>
      </c>
      <c r="Q473" s="37" t="str">
        <f t="shared" si="27"/>
        <v/>
      </c>
    </row>
    <row r="474" spans="1:17" x14ac:dyDescent="0.2">
      <c r="A474" s="41"/>
      <c r="B474" s="42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N474" s="38" t="str">
        <f t="shared" si="24"/>
        <v/>
      </c>
      <c r="O474" s="38" t="str">
        <f t="shared" si="25"/>
        <v/>
      </c>
      <c r="P474" s="37" t="str">
        <f t="shared" si="26"/>
        <v/>
      </c>
      <c r="Q474" s="37" t="str">
        <f t="shared" si="27"/>
        <v/>
      </c>
    </row>
    <row r="475" spans="1:17" x14ac:dyDescent="0.2">
      <c r="A475" s="41"/>
      <c r="B475" s="42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N475" s="38" t="str">
        <f t="shared" si="24"/>
        <v/>
      </c>
      <c r="O475" s="38" t="str">
        <f t="shared" si="25"/>
        <v/>
      </c>
      <c r="P475" s="37" t="str">
        <f t="shared" si="26"/>
        <v/>
      </c>
      <c r="Q475" s="37" t="str">
        <f t="shared" si="27"/>
        <v/>
      </c>
    </row>
    <row r="476" spans="1:17" x14ac:dyDescent="0.2">
      <c r="A476" s="41"/>
      <c r="B476" s="42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N476" s="38" t="str">
        <f t="shared" si="24"/>
        <v/>
      </c>
      <c r="O476" s="38" t="str">
        <f t="shared" si="25"/>
        <v/>
      </c>
      <c r="P476" s="37" t="str">
        <f t="shared" si="26"/>
        <v/>
      </c>
      <c r="Q476" s="37" t="str">
        <f t="shared" si="27"/>
        <v/>
      </c>
    </row>
    <row r="477" spans="1:17" x14ac:dyDescent="0.2">
      <c r="A477" s="41"/>
      <c r="B477" s="42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N477" s="38" t="str">
        <f t="shared" ref="N477:N540" si="28">IF(LEFT($L477,21)="Priority changed from",MID($L477,23,1),"")</f>
        <v/>
      </c>
      <c r="O477" s="38" t="str">
        <f t="shared" ref="O477:O540" si="29">IF(LEFT($L477,21)="Priority changed from",MID($L477,28,1),"")</f>
        <v/>
      </c>
      <c r="P477" s="37" t="str">
        <f t="shared" ref="P477:P540" si="30">IFERROR(IF(E477=1,"Yes",IF(OR(VALUE(N477)=1,VALUE(O477)=1),"Yes","No")),"")</f>
        <v/>
      </c>
      <c r="Q477" s="37" t="str">
        <f t="shared" ref="Q477:Q540" si="31">IFERROR(IF(P477="Yes","No",IF(E477=2,"Yes",IF(OR(VALUE(N477)=2,VALUE(O477)=2),"Yes","No"))),"")</f>
        <v/>
      </c>
    </row>
    <row r="478" spans="1:17" x14ac:dyDescent="0.2">
      <c r="A478" s="41"/>
      <c r="B478" s="42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N478" s="38" t="str">
        <f t="shared" si="28"/>
        <v/>
      </c>
      <c r="O478" s="38" t="str">
        <f t="shared" si="29"/>
        <v/>
      </c>
      <c r="P478" s="37" t="str">
        <f t="shared" si="30"/>
        <v/>
      </c>
      <c r="Q478" s="37" t="str">
        <f t="shared" si="31"/>
        <v/>
      </c>
    </row>
    <row r="479" spans="1:17" x14ac:dyDescent="0.2">
      <c r="A479" s="41"/>
      <c r="B479" s="42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N479" s="38" t="str">
        <f t="shared" si="28"/>
        <v/>
      </c>
      <c r="O479" s="38" t="str">
        <f t="shared" si="29"/>
        <v/>
      </c>
      <c r="P479" s="37" t="str">
        <f t="shared" si="30"/>
        <v/>
      </c>
      <c r="Q479" s="37" t="str">
        <f t="shared" si="31"/>
        <v/>
      </c>
    </row>
    <row r="480" spans="1:17" x14ac:dyDescent="0.2">
      <c r="A480" s="41"/>
      <c r="B480" s="42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N480" s="38" t="str">
        <f t="shared" si="28"/>
        <v/>
      </c>
      <c r="O480" s="38" t="str">
        <f t="shared" si="29"/>
        <v/>
      </c>
      <c r="P480" s="37" t="str">
        <f t="shared" si="30"/>
        <v/>
      </c>
      <c r="Q480" s="37" t="str">
        <f t="shared" si="31"/>
        <v/>
      </c>
    </row>
    <row r="481" spans="1:17" x14ac:dyDescent="0.2">
      <c r="A481" s="41"/>
      <c r="B481" s="42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N481" s="38" t="str">
        <f t="shared" si="28"/>
        <v/>
      </c>
      <c r="O481" s="38" t="str">
        <f t="shared" si="29"/>
        <v/>
      </c>
      <c r="P481" s="37" t="str">
        <f t="shared" si="30"/>
        <v/>
      </c>
      <c r="Q481" s="37" t="str">
        <f t="shared" si="31"/>
        <v/>
      </c>
    </row>
    <row r="482" spans="1:17" x14ac:dyDescent="0.2">
      <c r="A482" s="41"/>
      <c r="B482" s="42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N482" s="38" t="str">
        <f t="shared" si="28"/>
        <v/>
      </c>
      <c r="O482" s="38" t="str">
        <f t="shared" si="29"/>
        <v/>
      </c>
      <c r="P482" s="37" t="str">
        <f t="shared" si="30"/>
        <v/>
      </c>
      <c r="Q482" s="37" t="str">
        <f t="shared" si="31"/>
        <v/>
      </c>
    </row>
    <row r="483" spans="1:17" x14ac:dyDescent="0.2">
      <c r="A483" s="41"/>
      <c r="B483" s="42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N483" s="38" t="str">
        <f t="shared" si="28"/>
        <v/>
      </c>
      <c r="O483" s="38" t="str">
        <f t="shared" si="29"/>
        <v/>
      </c>
      <c r="P483" s="37" t="str">
        <f t="shared" si="30"/>
        <v/>
      </c>
      <c r="Q483" s="37" t="str">
        <f t="shared" si="31"/>
        <v/>
      </c>
    </row>
    <row r="484" spans="1:17" x14ac:dyDescent="0.2">
      <c r="A484" s="64"/>
      <c r="B484" s="42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N484" s="38" t="str">
        <f t="shared" si="28"/>
        <v/>
      </c>
      <c r="O484" s="38" t="str">
        <f t="shared" si="29"/>
        <v/>
      </c>
      <c r="P484" s="37" t="str">
        <f t="shared" si="30"/>
        <v/>
      </c>
      <c r="Q484" s="37" t="str">
        <f t="shared" si="31"/>
        <v/>
      </c>
    </row>
    <row r="485" spans="1:17" x14ac:dyDescent="0.2">
      <c r="A485" s="41"/>
      <c r="B485" s="42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N485" s="38" t="str">
        <f t="shared" si="28"/>
        <v/>
      </c>
      <c r="O485" s="38" t="str">
        <f t="shared" si="29"/>
        <v/>
      </c>
      <c r="P485" s="37" t="str">
        <f t="shared" si="30"/>
        <v/>
      </c>
      <c r="Q485" s="37" t="str">
        <f t="shared" si="31"/>
        <v/>
      </c>
    </row>
    <row r="486" spans="1:17" x14ac:dyDescent="0.2">
      <c r="A486" s="64"/>
      <c r="B486" s="42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N486" s="38" t="str">
        <f t="shared" si="28"/>
        <v/>
      </c>
      <c r="O486" s="38" t="str">
        <f t="shared" si="29"/>
        <v/>
      </c>
      <c r="P486" s="37" t="str">
        <f t="shared" si="30"/>
        <v/>
      </c>
      <c r="Q486" s="37" t="str">
        <f t="shared" si="31"/>
        <v/>
      </c>
    </row>
    <row r="487" spans="1:17" x14ac:dyDescent="0.2">
      <c r="A487" s="64"/>
      <c r="B487" s="42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N487" s="38" t="str">
        <f t="shared" si="28"/>
        <v/>
      </c>
      <c r="O487" s="38" t="str">
        <f t="shared" si="29"/>
        <v/>
      </c>
      <c r="P487" s="37" t="str">
        <f t="shared" si="30"/>
        <v/>
      </c>
      <c r="Q487" s="37" t="str">
        <f t="shared" si="31"/>
        <v/>
      </c>
    </row>
    <row r="488" spans="1:17" x14ac:dyDescent="0.2">
      <c r="A488" s="41"/>
      <c r="B488" s="42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N488" s="38" t="str">
        <f t="shared" si="28"/>
        <v/>
      </c>
      <c r="O488" s="38" t="str">
        <f t="shared" si="29"/>
        <v/>
      </c>
      <c r="P488" s="37" t="str">
        <f t="shared" si="30"/>
        <v/>
      </c>
      <c r="Q488" s="37" t="str">
        <f t="shared" si="31"/>
        <v/>
      </c>
    </row>
    <row r="489" spans="1:17" x14ac:dyDescent="0.2">
      <c r="A489" s="41"/>
      <c r="B489" s="42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N489" s="38" t="str">
        <f t="shared" si="28"/>
        <v/>
      </c>
      <c r="O489" s="38" t="str">
        <f t="shared" si="29"/>
        <v/>
      </c>
      <c r="P489" s="37" t="str">
        <f t="shared" si="30"/>
        <v/>
      </c>
      <c r="Q489" s="37" t="str">
        <f t="shared" si="31"/>
        <v/>
      </c>
    </row>
    <row r="490" spans="1:17" x14ac:dyDescent="0.2">
      <c r="A490" s="41"/>
      <c r="B490" s="42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N490" s="38" t="str">
        <f t="shared" si="28"/>
        <v/>
      </c>
      <c r="O490" s="38" t="str">
        <f t="shared" si="29"/>
        <v/>
      </c>
      <c r="P490" s="37" t="str">
        <f t="shared" si="30"/>
        <v/>
      </c>
      <c r="Q490" s="37" t="str">
        <f t="shared" si="31"/>
        <v/>
      </c>
    </row>
    <row r="491" spans="1:17" x14ac:dyDescent="0.2">
      <c r="A491" s="41"/>
      <c r="B491" s="42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N491" s="38" t="str">
        <f t="shared" si="28"/>
        <v/>
      </c>
      <c r="O491" s="38" t="str">
        <f t="shared" si="29"/>
        <v/>
      </c>
      <c r="P491" s="37" t="str">
        <f t="shared" si="30"/>
        <v/>
      </c>
      <c r="Q491" s="37" t="str">
        <f t="shared" si="31"/>
        <v/>
      </c>
    </row>
    <row r="492" spans="1:17" x14ac:dyDescent="0.2">
      <c r="A492" s="41"/>
      <c r="B492" s="42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N492" s="38" t="str">
        <f t="shared" si="28"/>
        <v/>
      </c>
      <c r="O492" s="38" t="str">
        <f t="shared" si="29"/>
        <v/>
      </c>
      <c r="P492" s="37" t="str">
        <f t="shared" si="30"/>
        <v/>
      </c>
      <c r="Q492" s="37" t="str">
        <f t="shared" si="31"/>
        <v/>
      </c>
    </row>
    <row r="493" spans="1:17" x14ac:dyDescent="0.2">
      <c r="A493" s="41"/>
      <c r="B493" s="42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N493" s="38" t="str">
        <f t="shared" si="28"/>
        <v/>
      </c>
      <c r="O493" s="38" t="str">
        <f t="shared" si="29"/>
        <v/>
      </c>
      <c r="P493" s="37" t="str">
        <f t="shared" si="30"/>
        <v/>
      </c>
      <c r="Q493" s="37" t="str">
        <f t="shared" si="31"/>
        <v/>
      </c>
    </row>
    <row r="494" spans="1:17" x14ac:dyDescent="0.2">
      <c r="A494" s="41"/>
      <c r="B494" s="42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N494" s="38" t="str">
        <f t="shared" si="28"/>
        <v/>
      </c>
      <c r="O494" s="38" t="str">
        <f t="shared" si="29"/>
        <v/>
      </c>
      <c r="P494" s="37" t="str">
        <f t="shared" si="30"/>
        <v/>
      </c>
      <c r="Q494" s="37" t="str">
        <f t="shared" si="31"/>
        <v/>
      </c>
    </row>
    <row r="495" spans="1:17" x14ac:dyDescent="0.2">
      <c r="A495" s="41"/>
      <c r="B495" s="42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N495" s="38" t="str">
        <f t="shared" si="28"/>
        <v/>
      </c>
      <c r="O495" s="38" t="str">
        <f t="shared" si="29"/>
        <v/>
      </c>
      <c r="P495" s="37" t="str">
        <f t="shared" si="30"/>
        <v/>
      </c>
      <c r="Q495" s="37" t="str">
        <f t="shared" si="31"/>
        <v/>
      </c>
    </row>
    <row r="496" spans="1:17" x14ac:dyDescent="0.2">
      <c r="A496" s="41"/>
      <c r="B496" s="42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N496" s="38" t="str">
        <f t="shared" si="28"/>
        <v/>
      </c>
      <c r="O496" s="38" t="str">
        <f t="shared" si="29"/>
        <v/>
      </c>
      <c r="P496" s="37" t="str">
        <f t="shared" si="30"/>
        <v/>
      </c>
      <c r="Q496" s="37" t="str">
        <f t="shared" si="31"/>
        <v/>
      </c>
    </row>
    <row r="497" spans="1:17" x14ac:dyDescent="0.2">
      <c r="A497" s="41"/>
      <c r="B497" s="42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N497" s="38" t="str">
        <f t="shared" si="28"/>
        <v/>
      </c>
      <c r="O497" s="38" t="str">
        <f t="shared" si="29"/>
        <v/>
      </c>
      <c r="P497" s="37" t="str">
        <f t="shared" si="30"/>
        <v/>
      </c>
      <c r="Q497" s="37" t="str">
        <f t="shared" si="31"/>
        <v/>
      </c>
    </row>
    <row r="498" spans="1:17" x14ac:dyDescent="0.2">
      <c r="A498" s="41"/>
      <c r="B498" s="42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N498" s="38" t="str">
        <f t="shared" si="28"/>
        <v/>
      </c>
      <c r="O498" s="38" t="str">
        <f t="shared" si="29"/>
        <v/>
      </c>
      <c r="P498" s="37" t="str">
        <f t="shared" si="30"/>
        <v/>
      </c>
      <c r="Q498" s="37" t="str">
        <f t="shared" si="31"/>
        <v/>
      </c>
    </row>
    <row r="499" spans="1:17" x14ac:dyDescent="0.2">
      <c r="A499" s="41"/>
      <c r="B499" s="42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N499" s="38" t="str">
        <f t="shared" si="28"/>
        <v/>
      </c>
      <c r="O499" s="38" t="str">
        <f t="shared" si="29"/>
        <v/>
      </c>
      <c r="P499" s="37" t="str">
        <f t="shared" si="30"/>
        <v/>
      </c>
      <c r="Q499" s="37" t="str">
        <f t="shared" si="31"/>
        <v/>
      </c>
    </row>
    <row r="500" spans="1:17" x14ac:dyDescent="0.2">
      <c r="A500" s="41"/>
      <c r="B500" s="42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N500" s="38" t="str">
        <f t="shared" si="28"/>
        <v/>
      </c>
      <c r="O500" s="38" t="str">
        <f t="shared" si="29"/>
        <v/>
      </c>
      <c r="P500" s="37" t="str">
        <f t="shared" si="30"/>
        <v/>
      </c>
      <c r="Q500" s="37" t="str">
        <f t="shared" si="31"/>
        <v/>
      </c>
    </row>
    <row r="501" spans="1:17" x14ac:dyDescent="0.2">
      <c r="A501" s="41"/>
      <c r="B501" s="42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N501" s="38" t="str">
        <f t="shared" si="28"/>
        <v/>
      </c>
      <c r="O501" s="38" t="str">
        <f t="shared" si="29"/>
        <v/>
      </c>
      <c r="P501" s="37" t="str">
        <f t="shared" si="30"/>
        <v/>
      </c>
      <c r="Q501" s="37" t="str">
        <f t="shared" si="31"/>
        <v/>
      </c>
    </row>
    <row r="502" spans="1:17" x14ac:dyDescent="0.2">
      <c r="A502" s="41"/>
      <c r="B502" s="42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N502" s="38" t="str">
        <f t="shared" si="28"/>
        <v/>
      </c>
      <c r="O502" s="38" t="str">
        <f t="shared" si="29"/>
        <v/>
      </c>
      <c r="P502" s="37" t="str">
        <f t="shared" si="30"/>
        <v/>
      </c>
      <c r="Q502" s="37" t="str">
        <f t="shared" si="31"/>
        <v/>
      </c>
    </row>
    <row r="503" spans="1:17" x14ac:dyDescent="0.2">
      <c r="A503" s="64"/>
      <c r="B503" s="42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N503" s="38" t="str">
        <f t="shared" si="28"/>
        <v/>
      </c>
      <c r="O503" s="38" t="str">
        <f t="shared" si="29"/>
        <v/>
      </c>
      <c r="P503" s="37" t="str">
        <f t="shared" si="30"/>
        <v/>
      </c>
      <c r="Q503" s="37" t="str">
        <f t="shared" si="31"/>
        <v/>
      </c>
    </row>
    <row r="504" spans="1:17" x14ac:dyDescent="0.2">
      <c r="A504" s="41"/>
      <c r="B504" s="42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N504" s="38" t="str">
        <f t="shared" si="28"/>
        <v/>
      </c>
      <c r="O504" s="38" t="str">
        <f t="shared" si="29"/>
        <v/>
      </c>
      <c r="P504" s="37" t="str">
        <f t="shared" si="30"/>
        <v/>
      </c>
      <c r="Q504" s="37" t="str">
        <f t="shared" si="31"/>
        <v/>
      </c>
    </row>
    <row r="505" spans="1:17" x14ac:dyDescent="0.2">
      <c r="A505" s="41"/>
      <c r="B505" s="42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N505" s="38" t="str">
        <f t="shared" si="28"/>
        <v/>
      </c>
      <c r="O505" s="38" t="str">
        <f t="shared" si="29"/>
        <v/>
      </c>
      <c r="P505" s="37" t="str">
        <f t="shared" si="30"/>
        <v/>
      </c>
      <c r="Q505" s="37" t="str">
        <f t="shared" si="31"/>
        <v/>
      </c>
    </row>
    <row r="506" spans="1:17" x14ac:dyDescent="0.2">
      <c r="A506" s="41"/>
      <c r="B506" s="42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N506" s="38" t="str">
        <f t="shared" si="28"/>
        <v/>
      </c>
      <c r="O506" s="38" t="str">
        <f t="shared" si="29"/>
        <v/>
      </c>
      <c r="P506" s="37" t="str">
        <f t="shared" si="30"/>
        <v/>
      </c>
      <c r="Q506" s="37" t="str">
        <f t="shared" si="31"/>
        <v/>
      </c>
    </row>
    <row r="507" spans="1:17" x14ac:dyDescent="0.2">
      <c r="A507" s="41"/>
      <c r="B507" s="42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N507" s="38" t="str">
        <f t="shared" si="28"/>
        <v/>
      </c>
      <c r="O507" s="38" t="str">
        <f t="shared" si="29"/>
        <v/>
      </c>
      <c r="P507" s="37" t="str">
        <f t="shared" si="30"/>
        <v/>
      </c>
      <c r="Q507" s="37" t="str">
        <f t="shared" si="31"/>
        <v/>
      </c>
    </row>
    <row r="508" spans="1:17" x14ac:dyDescent="0.2">
      <c r="A508" s="41"/>
      <c r="B508" s="42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N508" s="38" t="str">
        <f t="shared" si="28"/>
        <v/>
      </c>
      <c r="O508" s="38" t="str">
        <f t="shared" si="29"/>
        <v/>
      </c>
      <c r="P508" s="37" t="str">
        <f t="shared" si="30"/>
        <v/>
      </c>
      <c r="Q508" s="37" t="str">
        <f t="shared" si="31"/>
        <v/>
      </c>
    </row>
    <row r="509" spans="1:17" x14ac:dyDescent="0.2">
      <c r="A509" s="41"/>
      <c r="B509" s="42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N509" s="38" t="str">
        <f t="shared" si="28"/>
        <v/>
      </c>
      <c r="O509" s="38" t="str">
        <f t="shared" si="29"/>
        <v/>
      </c>
      <c r="P509" s="37" t="str">
        <f t="shared" si="30"/>
        <v/>
      </c>
      <c r="Q509" s="37" t="str">
        <f t="shared" si="31"/>
        <v/>
      </c>
    </row>
    <row r="510" spans="1:17" x14ac:dyDescent="0.2">
      <c r="A510" s="41"/>
      <c r="B510" s="42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N510" s="38" t="str">
        <f t="shared" si="28"/>
        <v/>
      </c>
      <c r="O510" s="38" t="str">
        <f t="shared" si="29"/>
        <v/>
      </c>
      <c r="P510" s="37" t="str">
        <f t="shared" si="30"/>
        <v/>
      </c>
      <c r="Q510" s="37" t="str">
        <f t="shared" si="31"/>
        <v/>
      </c>
    </row>
    <row r="511" spans="1:17" x14ac:dyDescent="0.2">
      <c r="A511" s="41"/>
      <c r="B511" s="42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N511" s="38" t="str">
        <f t="shared" si="28"/>
        <v/>
      </c>
      <c r="O511" s="38" t="str">
        <f t="shared" si="29"/>
        <v/>
      </c>
      <c r="P511" s="37" t="str">
        <f t="shared" si="30"/>
        <v/>
      </c>
      <c r="Q511" s="37" t="str">
        <f t="shared" si="31"/>
        <v/>
      </c>
    </row>
    <row r="512" spans="1:17" x14ac:dyDescent="0.2">
      <c r="A512" s="41"/>
      <c r="B512" s="42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N512" s="38" t="str">
        <f t="shared" si="28"/>
        <v/>
      </c>
      <c r="O512" s="38" t="str">
        <f t="shared" si="29"/>
        <v/>
      </c>
      <c r="P512" s="37" t="str">
        <f t="shared" si="30"/>
        <v/>
      </c>
      <c r="Q512" s="37" t="str">
        <f t="shared" si="31"/>
        <v/>
      </c>
    </row>
    <row r="513" spans="1:17" x14ac:dyDescent="0.2">
      <c r="A513" s="41"/>
      <c r="B513" s="42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N513" s="38" t="str">
        <f t="shared" si="28"/>
        <v/>
      </c>
      <c r="O513" s="38" t="str">
        <f t="shared" si="29"/>
        <v/>
      </c>
      <c r="P513" s="37" t="str">
        <f t="shared" si="30"/>
        <v/>
      </c>
      <c r="Q513" s="37" t="str">
        <f t="shared" si="31"/>
        <v/>
      </c>
    </row>
    <row r="514" spans="1:17" x14ac:dyDescent="0.2">
      <c r="A514" s="41"/>
      <c r="B514" s="42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N514" s="38" t="str">
        <f t="shared" si="28"/>
        <v/>
      </c>
      <c r="O514" s="38" t="str">
        <f t="shared" si="29"/>
        <v/>
      </c>
      <c r="P514" s="37" t="str">
        <f t="shared" si="30"/>
        <v/>
      </c>
      <c r="Q514" s="37" t="str">
        <f t="shared" si="31"/>
        <v/>
      </c>
    </row>
    <row r="515" spans="1:17" x14ac:dyDescent="0.2">
      <c r="A515" s="41"/>
      <c r="B515" s="42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N515" s="38" t="str">
        <f t="shared" si="28"/>
        <v/>
      </c>
      <c r="O515" s="38" t="str">
        <f t="shared" si="29"/>
        <v/>
      </c>
      <c r="P515" s="37" t="str">
        <f t="shared" si="30"/>
        <v/>
      </c>
      <c r="Q515" s="37" t="str">
        <f t="shared" si="31"/>
        <v/>
      </c>
    </row>
    <row r="516" spans="1:17" x14ac:dyDescent="0.2">
      <c r="A516" s="41"/>
      <c r="B516" s="42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N516" s="38" t="str">
        <f t="shared" si="28"/>
        <v/>
      </c>
      <c r="O516" s="38" t="str">
        <f t="shared" si="29"/>
        <v/>
      </c>
      <c r="P516" s="37" t="str">
        <f t="shared" si="30"/>
        <v/>
      </c>
      <c r="Q516" s="37" t="str">
        <f t="shared" si="31"/>
        <v/>
      </c>
    </row>
    <row r="517" spans="1:17" x14ac:dyDescent="0.2">
      <c r="A517" s="41"/>
      <c r="B517" s="42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N517" s="38" t="str">
        <f t="shared" si="28"/>
        <v/>
      </c>
      <c r="O517" s="38" t="str">
        <f t="shared" si="29"/>
        <v/>
      </c>
      <c r="P517" s="37" t="str">
        <f t="shared" si="30"/>
        <v/>
      </c>
      <c r="Q517" s="37" t="str">
        <f t="shared" si="31"/>
        <v/>
      </c>
    </row>
    <row r="518" spans="1:17" x14ac:dyDescent="0.2">
      <c r="A518" s="41"/>
      <c r="B518" s="42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N518" s="38" t="str">
        <f t="shared" si="28"/>
        <v/>
      </c>
      <c r="O518" s="38" t="str">
        <f t="shared" si="29"/>
        <v/>
      </c>
      <c r="P518" s="37" t="str">
        <f t="shared" si="30"/>
        <v/>
      </c>
      <c r="Q518" s="37" t="str">
        <f t="shared" si="31"/>
        <v/>
      </c>
    </row>
    <row r="519" spans="1:17" x14ac:dyDescent="0.2">
      <c r="A519" s="41"/>
      <c r="B519" s="42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N519" s="38" t="str">
        <f t="shared" si="28"/>
        <v/>
      </c>
      <c r="O519" s="38" t="str">
        <f t="shared" si="29"/>
        <v/>
      </c>
      <c r="P519" s="37" t="str">
        <f t="shared" si="30"/>
        <v/>
      </c>
      <c r="Q519" s="37" t="str">
        <f t="shared" si="31"/>
        <v/>
      </c>
    </row>
    <row r="520" spans="1:17" x14ac:dyDescent="0.2">
      <c r="A520" s="41"/>
      <c r="B520" s="42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N520" s="38" t="str">
        <f t="shared" si="28"/>
        <v/>
      </c>
      <c r="O520" s="38" t="str">
        <f t="shared" si="29"/>
        <v/>
      </c>
      <c r="P520" s="37" t="str">
        <f t="shared" si="30"/>
        <v/>
      </c>
      <c r="Q520" s="37" t="str">
        <f t="shared" si="31"/>
        <v/>
      </c>
    </row>
    <row r="521" spans="1:17" x14ac:dyDescent="0.2">
      <c r="A521" s="41"/>
      <c r="B521" s="42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N521" s="38" t="str">
        <f t="shared" si="28"/>
        <v/>
      </c>
      <c r="O521" s="38" t="str">
        <f t="shared" si="29"/>
        <v/>
      </c>
      <c r="P521" s="37" t="str">
        <f t="shared" si="30"/>
        <v/>
      </c>
      <c r="Q521" s="37" t="str">
        <f t="shared" si="31"/>
        <v/>
      </c>
    </row>
    <row r="522" spans="1:17" x14ac:dyDescent="0.2">
      <c r="A522" s="41"/>
      <c r="B522" s="42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N522" s="38" t="str">
        <f t="shared" si="28"/>
        <v/>
      </c>
      <c r="O522" s="38" t="str">
        <f t="shared" si="29"/>
        <v/>
      </c>
      <c r="P522" s="37" t="str">
        <f t="shared" si="30"/>
        <v/>
      </c>
      <c r="Q522" s="37" t="str">
        <f t="shared" si="31"/>
        <v/>
      </c>
    </row>
    <row r="523" spans="1:17" x14ac:dyDescent="0.2">
      <c r="A523" s="41"/>
      <c r="B523" s="42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N523" s="38" t="str">
        <f t="shared" si="28"/>
        <v/>
      </c>
      <c r="O523" s="38" t="str">
        <f t="shared" si="29"/>
        <v/>
      </c>
      <c r="P523" s="37" t="str">
        <f t="shared" si="30"/>
        <v/>
      </c>
      <c r="Q523" s="37" t="str">
        <f t="shared" si="31"/>
        <v/>
      </c>
    </row>
    <row r="524" spans="1:17" x14ac:dyDescent="0.2">
      <c r="A524" s="41"/>
      <c r="B524" s="42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N524" s="38" t="str">
        <f t="shared" si="28"/>
        <v/>
      </c>
      <c r="O524" s="38" t="str">
        <f t="shared" si="29"/>
        <v/>
      </c>
      <c r="P524" s="37" t="str">
        <f t="shared" si="30"/>
        <v/>
      </c>
      <c r="Q524" s="37" t="str">
        <f t="shared" si="31"/>
        <v/>
      </c>
    </row>
    <row r="525" spans="1:17" x14ac:dyDescent="0.2">
      <c r="A525" s="41"/>
      <c r="B525" s="42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N525" s="38" t="str">
        <f t="shared" si="28"/>
        <v/>
      </c>
      <c r="O525" s="38" t="str">
        <f t="shared" si="29"/>
        <v/>
      </c>
      <c r="P525" s="37" t="str">
        <f t="shared" si="30"/>
        <v/>
      </c>
      <c r="Q525" s="37" t="str">
        <f t="shared" si="31"/>
        <v/>
      </c>
    </row>
    <row r="526" spans="1:17" x14ac:dyDescent="0.2">
      <c r="A526" s="41"/>
      <c r="B526" s="42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N526" s="38" t="str">
        <f t="shared" si="28"/>
        <v/>
      </c>
      <c r="O526" s="38" t="str">
        <f t="shared" si="29"/>
        <v/>
      </c>
      <c r="P526" s="37" t="str">
        <f t="shared" si="30"/>
        <v/>
      </c>
      <c r="Q526" s="37" t="str">
        <f t="shared" si="31"/>
        <v/>
      </c>
    </row>
    <row r="527" spans="1:17" x14ac:dyDescent="0.2">
      <c r="A527" s="41"/>
      <c r="B527" s="42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N527" s="38" t="str">
        <f t="shared" si="28"/>
        <v/>
      </c>
      <c r="O527" s="38" t="str">
        <f t="shared" si="29"/>
        <v/>
      </c>
      <c r="P527" s="37" t="str">
        <f t="shared" si="30"/>
        <v/>
      </c>
      <c r="Q527" s="37" t="str">
        <f t="shared" si="31"/>
        <v/>
      </c>
    </row>
    <row r="528" spans="1:17" x14ac:dyDescent="0.2">
      <c r="A528" s="41"/>
      <c r="B528" s="42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N528" s="38" t="str">
        <f t="shared" si="28"/>
        <v/>
      </c>
      <c r="O528" s="38" t="str">
        <f t="shared" si="29"/>
        <v/>
      </c>
      <c r="P528" s="37" t="str">
        <f t="shared" si="30"/>
        <v/>
      </c>
      <c r="Q528" s="37" t="str">
        <f t="shared" si="31"/>
        <v/>
      </c>
    </row>
    <row r="529" spans="1:17" x14ac:dyDescent="0.2">
      <c r="A529" s="41"/>
      <c r="B529" s="42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N529" s="38" t="str">
        <f t="shared" si="28"/>
        <v/>
      </c>
      <c r="O529" s="38" t="str">
        <f t="shared" si="29"/>
        <v/>
      </c>
      <c r="P529" s="37" t="str">
        <f t="shared" si="30"/>
        <v/>
      </c>
      <c r="Q529" s="37" t="str">
        <f t="shared" si="31"/>
        <v/>
      </c>
    </row>
    <row r="530" spans="1:17" x14ac:dyDescent="0.2">
      <c r="A530" s="41"/>
      <c r="B530" s="42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N530" s="38" t="str">
        <f t="shared" si="28"/>
        <v/>
      </c>
      <c r="O530" s="38" t="str">
        <f t="shared" si="29"/>
        <v/>
      </c>
      <c r="P530" s="37" t="str">
        <f t="shared" si="30"/>
        <v/>
      </c>
      <c r="Q530" s="37" t="str">
        <f t="shared" si="31"/>
        <v/>
      </c>
    </row>
    <row r="531" spans="1:17" x14ac:dyDescent="0.2">
      <c r="A531" s="41"/>
      <c r="B531" s="42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N531" s="38" t="str">
        <f t="shared" si="28"/>
        <v/>
      </c>
      <c r="O531" s="38" t="str">
        <f t="shared" si="29"/>
        <v/>
      </c>
      <c r="P531" s="37" t="str">
        <f t="shared" si="30"/>
        <v/>
      </c>
      <c r="Q531" s="37" t="str">
        <f t="shared" si="31"/>
        <v/>
      </c>
    </row>
    <row r="532" spans="1:17" x14ac:dyDescent="0.2">
      <c r="A532" s="41"/>
      <c r="B532" s="42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N532" s="38" t="str">
        <f t="shared" si="28"/>
        <v/>
      </c>
      <c r="O532" s="38" t="str">
        <f t="shared" si="29"/>
        <v/>
      </c>
      <c r="P532" s="37" t="str">
        <f t="shared" si="30"/>
        <v/>
      </c>
      <c r="Q532" s="37" t="str">
        <f t="shared" si="31"/>
        <v/>
      </c>
    </row>
    <row r="533" spans="1:17" x14ac:dyDescent="0.2">
      <c r="A533" s="41"/>
      <c r="B533" s="42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N533" s="38" t="str">
        <f t="shared" si="28"/>
        <v/>
      </c>
      <c r="O533" s="38" t="str">
        <f t="shared" si="29"/>
        <v/>
      </c>
      <c r="P533" s="37" t="str">
        <f t="shared" si="30"/>
        <v/>
      </c>
      <c r="Q533" s="37" t="str">
        <f t="shared" si="31"/>
        <v/>
      </c>
    </row>
    <row r="534" spans="1:17" x14ac:dyDescent="0.2">
      <c r="A534" s="41"/>
      <c r="B534" s="42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N534" s="38" t="str">
        <f t="shared" si="28"/>
        <v/>
      </c>
      <c r="O534" s="38" t="str">
        <f t="shared" si="29"/>
        <v/>
      </c>
      <c r="P534" s="37" t="str">
        <f t="shared" si="30"/>
        <v/>
      </c>
      <c r="Q534" s="37" t="str">
        <f t="shared" si="31"/>
        <v/>
      </c>
    </row>
    <row r="535" spans="1:17" x14ac:dyDescent="0.2">
      <c r="A535" s="41"/>
      <c r="B535" s="42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N535" s="38" t="str">
        <f t="shared" si="28"/>
        <v/>
      </c>
      <c r="O535" s="38" t="str">
        <f t="shared" si="29"/>
        <v/>
      </c>
      <c r="P535" s="37" t="str">
        <f t="shared" si="30"/>
        <v/>
      </c>
      <c r="Q535" s="37" t="str">
        <f t="shared" si="31"/>
        <v/>
      </c>
    </row>
    <row r="536" spans="1:17" x14ac:dyDescent="0.2">
      <c r="A536" s="41"/>
      <c r="B536" s="42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N536" s="38" t="str">
        <f t="shared" si="28"/>
        <v/>
      </c>
      <c r="O536" s="38" t="str">
        <f t="shared" si="29"/>
        <v/>
      </c>
      <c r="P536" s="37" t="str">
        <f t="shared" si="30"/>
        <v/>
      </c>
      <c r="Q536" s="37" t="str">
        <f t="shared" si="31"/>
        <v/>
      </c>
    </row>
    <row r="537" spans="1:17" x14ac:dyDescent="0.2">
      <c r="A537" s="41"/>
      <c r="B537" s="42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N537" s="38" t="str">
        <f t="shared" si="28"/>
        <v/>
      </c>
      <c r="O537" s="38" t="str">
        <f t="shared" si="29"/>
        <v/>
      </c>
      <c r="P537" s="37" t="str">
        <f t="shared" si="30"/>
        <v/>
      </c>
      <c r="Q537" s="37" t="str">
        <f t="shared" si="31"/>
        <v/>
      </c>
    </row>
    <row r="538" spans="1:17" x14ac:dyDescent="0.2">
      <c r="A538" s="41"/>
      <c r="B538" s="42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N538" s="38" t="str">
        <f t="shared" si="28"/>
        <v/>
      </c>
      <c r="O538" s="38" t="str">
        <f t="shared" si="29"/>
        <v/>
      </c>
      <c r="P538" s="37" t="str">
        <f t="shared" si="30"/>
        <v/>
      </c>
      <c r="Q538" s="37" t="str">
        <f t="shared" si="31"/>
        <v/>
      </c>
    </row>
    <row r="539" spans="1:17" x14ac:dyDescent="0.2">
      <c r="A539" s="41"/>
      <c r="B539" s="42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N539" s="38" t="str">
        <f t="shared" si="28"/>
        <v/>
      </c>
      <c r="O539" s="38" t="str">
        <f t="shared" si="29"/>
        <v/>
      </c>
      <c r="P539" s="37" t="str">
        <f t="shared" si="30"/>
        <v/>
      </c>
      <c r="Q539" s="37" t="str">
        <f t="shared" si="31"/>
        <v/>
      </c>
    </row>
    <row r="540" spans="1:17" x14ac:dyDescent="0.2">
      <c r="A540" s="41"/>
      <c r="B540" s="42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N540" s="38" t="str">
        <f t="shared" si="28"/>
        <v/>
      </c>
      <c r="O540" s="38" t="str">
        <f t="shared" si="29"/>
        <v/>
      </c>
      <c r="P540" s="37" t="str">
        <f t="shared" si="30"/>
        <v/>
      </c>
      <c r="Q540" s="37" t="str">
        <f t="shared" si="31"/>
        <v/>
      </c>
    </row>
    <row r="541" spans="1:17" x14ac:dyDescent="0.2">
      <c r="A541" s="41"/>
      <c r="B541" s="42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N541" s="38" t="str">
        <f t="shared" ref="N541:N604" si="32">IF(LEFT($L541,21)="Priority changed from",MID($L541,23,1),"")</f>
        <v/>
      </c>
      <c r="O541" s="38" t="str">
        <f t="shared" ref="O541:O604" si="33">IF(LEFT($L541,21)="Priority changed from",MID($L541,28,1),"")</f>
        <v/>
      </c>
      <c r="P541" s="37" t="str">
        <f t="shared" ref="P541:P604" si="34">IFERROR(IF(E541=1,"Yes",IF(OR(VALUE(N541)=1,VALUE(O541)=1),"Yes","No")),"")</f>
        <v/>
      </c>
      <c r="Q541" s="37" t="str">
        <f t="shared" ref="Q541:Q604" si="35">IFERROR(IF(P541="Yes","No",IF(E541=2,"Yes",IF(OR(VALUE(N541)=2,VALUE(O541)=2),"Yes","No"))),"")</f>
        <v/>
      </c>
    </row>
    <row r="542" spans="1:17" x14ac:dyDescent="0.2">
      <c r="A542" s="41"/>
      <c r="B542" s="42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N542" s="38" t="str">
        <f t="shared" si="32"/>
        <v/>
      </c>
      <c r="O542" s="38" t="str">
        <f t="shared" si="33"/>
        <v/>
      </c>
      <c r="P542" s="37" t="str">
        <f t="shared" si="34"/>
        <v/>
      </c>
      <c r="Q542" s="37" t="str">
        <f t="shared" si="35"/>
        <v/>
      </c>
    </row>
    <row r="543" spans="1:17" x14ac:dyDescent="0.2">
      <c r="A543" s="41"/>
      <c r="B543" s="42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N543" s="38" t="str">
        <f t="shared" si="32"/>
        <v/>
      </c>
      <c r="O543" s="38" t="str">
        <f t="shared" si="33"/>
        <v/>
      </c>
      <c r="P543" s="37" t="str">
        <f t="shared" si="34"/>
        <v/>
      </c>
      <c r="Q543" s="37" t="str">
        <f t="shared" si="35"/>
        <v/>
      </c>
    </row>
    <row r="544" spans="1:17" x14ac:dyDescent="0.2">
      <c r="A544" s="41"/>
      <c r="B544" s="42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N544" s="38" t="str">
        <f t="shared" si="32"/>
        <v/>
      </c>
      <c r="O544" s="38" t="str">
        <f t="shared" si="33"/>
        <v/>
      </c>
      <c r="P544" s="37" t="str">
        <f t="shared" si="34"/>
        <v/>
      </c>
      <c r="Q544" s="37" t="str">
        <f t="shared" si="35"/>
        <v/>
      </c>
    </row>
    <row r="545" spans="1:17" x14ac:dyDescent="0.2">
      <c r="A545" s="41"/>
      <c r="B545" s="42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N545" s="38" t="str">
        <f t="shared" si="32"/>
        <v/>
      </c>
      <c r="O545" s="38" t="str">
        <f t="shared" si="33"/>
        <v/>
      </c>
      <c r="P545" s="37" t="str">
        <f t="shared" si="34"/>
        <v/>
      </c>
      <c r="Q545" s="37" t="str">
        <f t="shared" si="35"/>
        <v/>
      </c>
    </row>
    <row r="546" spans="1:17" x14ac:dyDescent="0.2">
      <c r="A546" s="41"/>
      <c r="B546" s="42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N546" s="38" t="str">
        <f t="shared" si="32"/>
        <v/>
      </c>
      <c r="O546" s="38" t="str">
        <f t="shared" si="33"/>
        <v/>
      </c>
      <c r="P546" s="37" t="str">
        <f t="shared" si="34"/>
        <v/>
      </c>
      <c r="Q546" s="37" t="str">
        <f t="shared" si="35"/>
        <v/>
      </c>
    </row>
    <row r="547" spans="1:17" x14ac:dyDescent="0.2">
      <c r="A547" s="41"/>
      <c r="B547" s="42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N547" s="38" t="str">
        <f t="shared" si="32"/>
        <v/>
      </c>
      <c r="O547" s="38" t="str">
        <f t="shared" si="33"/>
        <v/>
      </c>
      <c r="P547" s="37" t="str">
        <f t="shared" si="34"/>
        <v/>
      </c>
      <c r="Q547" s="37" t="str">
        <f t="shared" si="35"/>
        <v/>
      </c>
    </row>
    <row r="548" spans="1:17" x14ac:dyDescent="0.2">
      <c r="A548" s="41"/>
      <c r="B548" s="42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N548" s="38" t="str">
        <f t="shared" si="32"/>
        <v/>
      </c>
      <c r="O548" s="38" t="str">
        <f t="shared" si="33"/>
        <v/>
      </c>
      <c r="P548" s="37" t="str">
        <f t="shared" si="34"/>
        <v/>
      </c>
      <c r="Q548" s="37" t="str">
        <f t="shared" si="35"/>
        <v/>
      </c>
    </row>
    <row r="549" spans="1:17" x14ac:dyDescent="0.2">
      <c r="A549" s="41"/>
      <c r="B549" s="42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N549" s="38" t="str">
        <f t="shared" si="32"/>
        <v/>
      </c>
      <c r="O549" s="38" t="str">
        <f t="shared" si="33"/>
        <v/>
      </c>
      <c r="P549" s="37" t="str">
        <f t="shared" si="34"/>
        <v/>
      </c>
      <c r="Q549" s="37" t="str">
        <f t="shared" si="35"/>
        <v/>
      </c>
    </row>
    <row r="550" spans="1:17" x14ac:dyDescent="0.2">
      <c r="A550" s="41"/>
      <c r="B550" s="42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N550" s="38" t="str">
        <f t="shared" si="32"/>
        <v/>
      </c>
      <c r="O550" s="38" t="str">
        <f t="shared" si="33"/>
        <v/>
      </c>
      <c r="P550" s="37" t="str">
        <f t="shared" si="34"/>
        <v/>
      </c>
      <c r="Q550" s="37" t="str">
        <f t="shared" si="35"/>
        <v/>
      </c>
    </row>
    <row r="551" spans="1:17" x14ac:dyDescent="0.2">
      <c r="A551" s="41"/>
      <c r="B551" s="42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N551" s="38" t="str">
        <f t="shared" si="32"/>
        <v/>
      </c>
      <c r="O551" s="38" t="str">
        <f t="shared" si="33"/>
        <v/>
      </c>
      <c r="P551" s="37" t="str">
        <f t="shared" si="34"/>
        <v/>
      </c>
      <c r="Q551" s="37" t="str">
        <f t="shared" si="35"/>
        <v/>
      </c>
    </row>
    <row r="552" spans="1:17" x14ac:dyDescent="0.2">
      <c r="A552" s="41"/>
      <c r="B552" s="42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N552" s="38" t="str">
        <f t="shared" si="32"/>
        <v/>
      </c>
      <c r="O552" s="38" t="str">
        <f t="shared" si="33"/>
        <v/>
      </c>
      <c r="P552" s="37" t="str">
        <f t="shared" si="34"/>
        <v/>
      </c>
      <c r="Q552" s="37" t="str">
        <f t="shared" si="35"/>
        <v/>
      </c>
    </row>
    <row r="553" spans="1:17" x14ac:dyDescent="0.2">
      <c r="A553" s="41"/>
      <c r="B553" s="42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N553" s="38" t="str">
        <f t="shared" si="32"/>
        <v/>
      </c>
      <c r="O553" s="38" t="str">
        <f t="shared" si="33"/>
        <v/>
      </c>
      <c r="P553" s="37" t="str">
        <f t="shared" si="34"/>
        <v/>
      </c>
      <c r="Q553" s="37" t="str">
        <f t="shared" si="35"/>
        <v/>
      </c>
    </row>
    <row r="554" spans="1:17" x14ac:dyDescent="0.2">
      <c r="A554" s="41"/>
      <c r="B554" s="42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N554" s="38" t="str">
        <f t="shared" si="32"/>
        <v/>
      </c>
      <c r="O554" s="38" t="str">
        <f t="shared" si="33"/>
        <v/>
      </c>
      <c r="P554" s="37" t="str">
        <f t="shared" si="34"/>
        <v/>
      </c>
      <c r="Q554" s="37" t="str">
        <f t="shared" si="35"/>
        <v/>
      </c>
    </row>
    <row r="555" spans="1:17" x14ac:dyDescent="0.2">
      <c r="A555" s="41"/>
      <c r="B555" s="42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N555" s="38" t="str">
        <f t="shared" si="32"/>
        <v/>
      </c>
      <c r="O555" s="38" t="str">
        <f t="shared" si="33"/>
        <v/>
      </c>
      <c r="P555" s="37" t="str">
        <f t="shared" si="34"/>
        <v/>
      </c>
      <c r="Q555" s="37" t="str">
        <f t="shared" si="35"/>
        <v/>
      </c>
    </row>
    <row r="556" spans="1:17" x14ac:dyDescent="0.2">
      <c r="A556" s="41"/>
      <c r="B556" s="42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N556" s="38" t="str">
        <f t="shared" si="32"/>
        <v/>
      </c>
      <c r="O556" s="38" t="str">
        <f t="shared" si="33"/>
        <v/>
      </c>
      <c r="P556" s="37" t="str">
        <f t="shared" si="34"/>
        <v/>
      </c>
      <c r="Q556" s="37" t="str">
        <f t="shared" si="35"/>
        <v/>
      </c>
    </row>
    <row r="557" spans="1:17" x14ac:dyDescent="0.2">
      <c r="A557" s="41"/>
      <c r="B557" s="42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N557" s="38" t="str">
        <f t="shared" si="32"/>
        <v/>
      </c>
      <c r="O557" s="38" t="str">
        <f t="shared" si="33"/>
        <v/>
      </c>
      <c r="P557" s="37" t="str">
        <f t="shared" si="34"/>
        <v/>
      </c>
      <c r="Q557" s="37" t="str">
        <f t="shared" si="35"/>
        <v/>
      </c>
    </row>
    <row r="558" spans="1:17" x14ac:dyDescent="0.2">
      <c r="A558" s="41"/>
      <c r="B558" s="42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N558" s="38" t="str">
        <f t="shared" si="32"/>
        <v/>
      </c>
      <c r="O558" s="38" t="str">
        <f t="shared" si="33"/>
        <v/>
      </c>
      <c r="P558" s="37" t="str">
        <f t="shared" si="34"/>
        <v/>
      </c>
      <c r="Q558" s="37" t="str">
        <f t="shared" si="35"/>
        <v/>
      </c>
    </row>
    <row r="559" spans="1:17" x14ac:dyDescent="0.2">
      <c r="A559" s="41"/>
      <c r="B559" s="42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N559" s="38" t="str">
        <f t="shared" si="32"/>
        <v/>
      </c>
      <c r="O559" s="38" t="str">
        <f t="shared" si="33"/>
        <v/>
      </c>
      <c r="P559" s="37" t="str">
        <f t="shared" si="34"/>
        <v/>
      </c>
      <c r="Q559" s="37" t="str">
        <f t="shared" si="35"/>
        <v/>
      </c>
    </row>
    <row r="560" spans="1:17" x14ac:dyDescent="0.2">
      <c r="A560" s="41"/>
      <c r="B560" s="42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N560" s="38" t="str">
        <f t="shared" si="32"/>
        <v/>
      </c>
      <c r="O560" s="38" t="str">
        <f t="shared" si="33"/>
        <v/>
      </c>
      <c r="P560" s="37" t="str">
        <f t="shared" si="34"/>
        <v/>
      </c>
      <c r="Q560" s="37" t="str">
        <f t="shared" si="35"/>
        <v/>
      </c>
    </row>
    <row r="561" spans="1:17" x14ac:dyDescent="0.2">
      <c r="A561" s="41"/>
      <c r="B561" s="42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N561" s="38" t="str">
        <f t="shared" si="32"/>
        <v/>
      </c>
      <c r="O561" s="38" t="str">
        <f t="shared" si="33"/>
        <v/>
      </c>
      <c r="P561" s="37" t="str">
        <f t="shared" si="34"/>
        <v/>
      </c>
      <c r="Q561" s="37" t="str">
        <f t="shared" si="35"/>
        <v/>
      </c>
    </row>
    <row r="562" spans="1:17" x14ac:dyDescent="0.2">
      <c r="A562" s="41"/>
      <c r="B562" s="42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N562" s="38" t="str">
        <f t="shared" si="32"/>
        <v/>
      </c>
      <c r="O562" s="38" t="str">
        <f t="shared" si="33"/>
        <v/>
      </c>
      <c r="P562" s="37" t="str">
        <f t="shared" si="34"/>
        <v/>
      </c>
      <c r="Q562" s="37" t="str">
        <f t="shared" si="35"/>
        <v/>
      </c>
    </row>
    <row r="563" spans="1:17" x14ac:dyDescent="0.2">
      <c r="A563" s="41"/>
      <c r="B563" s="42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N563" s="38" t="str">
        <f t="shared" si="32"/>
        <v/>
      </c>
      <c r="O563" s="38" t="str">
        <f t="shared" si="33"/>
        <v/>
      </c>
      <c r="P563" s="37" t="str">
        <f t="shared" si="34"/>
        <v/>
      </c>
      <c r="Q563" s="37" t="str">
        <f t="shared" si="35"/>
        <v/>
      </c>
    </row>
    <row r="564" spans="1:17" x14ac:dyDescent="0.2">
      <c r="A564" s="41"/>
      <c r="B564" s="42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N564" s="38" t="str">
        <f t="shared" si="32"/>
        <v/>
      </c>
      <c r="O564" s="38" t="str">
        <f t="shared" si="33"/>
        <v/>
      </c>
      <c r="P564" s="37" t="str">
        <f t="shared" si="34"/>
        <v/>
      </c>
      <c r="Q564" s="37" t="str">
        <f t="shared" si="35"/>
        <v/>
      </c>
    </row>
    <row r="565" spans="1:17" x14ac:dyDescent="0.2">
      <c r="A565" s="41"/>
      <c r="B565" s="42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N565" s="38" t="str">
        <f t="shared" si="32"/>
        <v/>
      </c>
      <c r="O565" s="38" t="str">
        <f t="shared" si="33"/>
        <v/>
      </c>
      <c r="P565" s="37" t="str">
        <f t="shared" si="34"/>
        <v/>
      </c>
      <c r="Q565" s="37" t="str">
        <f t="shared" si="35"/>
        <v/>
      </c>
    </row>
    <row r="566" spans="1:17" x14ac:dyDescent="0.2">
      <c r="A566" s="41"/>
      <c r="B566" s="42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N566" s="38" t="str">
        <f t="shared" si="32"/>
        <v/>
      </c>
      <c r="O566" s="38" t="str">
        <f t="shared" si="33"/>
        <v/>
      </c>
      <c r="P566" s="37" t="str">
        <f t="shared" si="34"/>
        <v/>
      </c>
      <c r="Q566" s="37" t="str">
        <f t="shared" si="35"/>
        <v/>
      </c>
    </row>
    <row r="567" spans="1:17" x14ac:dyDescent="0.2">
      <c r="A567" s="41"/>
      <c r="B567" s="42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N567" s="38" t="str">
        <f t="shared" si="32"/>
        <v/>
      </c>
      <c r="O567" s="38" t="str">
        <f t="shared" si="33"/>
        <v/>
      </c>
      <c r="P567" s="37" t="str">
        <f t="shared" si="34"/>
        <v/>
      </c>
      <c r="Q567" s="37" t="str">
        <f t="shared" si="35"/>
        <v/>
      </c>
    </row>
    <row r="568" spans="1:17" x14ac:dyDescent="0.2">
      <c r="A568" s="41"/>
      <c r="B568" s="42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N568" s="38" t="str">
        <f t="shared" si="32"/>
        <v/>
      </c>
      <c r="O568" s="38" t="str">
        <f t="shared" si="33"/>
        <v/>
      </c>
      <c r="P568" s="37" t="str">
        <f t="shared" si="34"/>
        <v/>
      </c>
      <c r="Q568" s="37" t="str">
        <f t="shared" si="35"/>
        <v/>
      </c>
    </row>
    <row r="569" spans="1:17" x14ac:dyDescent="0.2">
      <c r="A569" s="41"/>
      <c r="B569" s="42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N569" s="38" t="str">
        <f t="shared" si="32"/>
        <v/>
      </c>
      <c r="O569" s="38" t="str">
        <f t="shared" si="33"/>
        <v/>
      </c>
      <c r="P569" s="37" t="str">
        <f t="shared" si="34"/>
        <v/>
      </c>
      <c r="Q569" s="37" t="str">
        <f t="shared" si="35"/>
        <v/>
      </c>
    </row>
    <row r="570" spans="1:17" x14ac:dyDescent="0.2">
      <c r="A570" s="41"/>
      <c r="B570" s="42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N570" s="38" t="str">
        <f t="shared" si="32"/>
        <v/>
      </c>
      <c r="O570" s="38" t="str">
        <f t="shared" si="33"/>
        <v/>
      </c>
      <c r="P570" s="37" t="str">
        <f t="shared" si="34"/>
        <v/>
      </c>
      <c r="Q570" s="37" t="str">
        <f t="shared" si="35"/>
        <v/>
      </c>
    </row>
    <row r="571" spans="1:17" x14ac:dyDescent="0.2">
      <c r="A571" s="41"/>
      <c r="B571" s="42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N571" s="38" t="str">
        <f t="shared" si="32"/>
        <v/>
      </c>
      <c r="O571" s="38" t="str">
        <f t="shared" si="33"/>
        <v/>
      </c>
      <c r="P571" s="37" t="str">
        <f t="shared" si="34"/>
        <v/>
      </c>
      <c r="Q571" s="37" t="str">
        <f t="shared" si="35"/>
        <v/>
      </c>
    </row>
    <row r="572" spans="1:17" x14ac:dyDescent="0.2">
      <c r="A572" s="41"/>
      <c r="B572" s="42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N572" s="38" t="str">
        <f t="shared" si="32"/>
        <v/>
      </c>
      <c r="O572" s="38" t="str">
        <f t="shared" si="33"/>
        <v/>
      </c>
      <c r="P572" s="37" t="str">
        <f t="shared" si="34"/>
        <v/>
      </c>
      <c r="Q572" s="37" t="str">
        <f t="shared" si="35"/>
        <v/>
      </c>
    </row>
    <row r="573" spans="1:17" x14ac:dyDescent="0.2">
      <c r="A573" s="41"/>
      <c r="B573" s="42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N573" s="38" t="str">
        <f t="shared" si="32"/>
        <v/>
      </c>
      <c r="O573" s="38" t="str">
        <f t="shared" si="33"/>
        <v/>
      </c>
      <c r="P573" s="37" t="str">
        <f t="shared" si="34"/>
        <v/>
      </c>
      <c r="Q573" s="37" t="str">
        <f t="shared" si="35"/>
        <v/>
      </c>
    </row>
    <row r="574" spans="1:17" x14ac:dyDescent="0.2">
      <c r="A574" s="41"/>
      <c r="B574" s="42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N574" s="38" t="str">
        <f t="shared" si="32"/>
        <v/>
      </c>
      <c r="O574" s="38" t="str">
        <f t="shared" si="33"/>
        <v/>
      </c>
      <c r="P574" s="37" t="str">
        <f t="shared" si="34"/>
        <v/>
      </c>
      <c r="Q574" s="37" t="str">
        <f t="shared" si="35"/>
        <v/>
      </c>
    </row>
    <row r="575" spans="1:17" x14ac:dyDescent="0.2">
      <c r="A575" s="41"/>
      <c r="B575" s="42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N575" s="38" t="str">
        <f t="shared" si="32"/>
        <v/>
      </c>
      <c r="O575" s="38" t="str">
        <f t="shared" si="33"/>
        <v/>
      </c>
      <c r="P575" s="37" t="str">
        <f t="shared" si="34"/>
        <v/>
      </c>
      <c r="Q575" s="37" t="str">
        <f t="shared" si="35"/>
        <v/>
      </c>
    </row>
    <row r="576" spans="1:17" x14ac:dyDescent="0.2">
      <c r="A576" s="41"/>
      <c r="B576" s="42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N576" s="38" t="str">
        <f t="shared" si="32"/>
        <v/>
      </c>
      <c r="O576" s="38" t="str">
        <f t="shared" si="33"/>
        <v/>
      </c>
      <c r="P576" s="37" t="str">
        <f t="shared" si="34"/>
        <v/>
      </c>
      <c r="Q576" s="37" t="str">
        <f t="shared" si="35"/>
        <v/>
      </c>
    </row>
    <row r="577" spans="1:17" x14ac:dyDescent="0.2">
      <c r="A577" s="41"/>
      <c r="B577" s="42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N577" s="38" t="str">
        <f t="shared" si="32"/>
        <v/>
      </c>
      <c r="O577" s="38" t="str">
        <f t="shared" si="33"/>
        <v/>
      </c>
      <c r="P577" s="37" t="str">
        <f t="shared" si="34"/>
        <v/>
      </c>
      <c r="Q577" s="37" t="str">
        <f t="shared" si="35"/>
        <v/>
      </c>
    </row>
    <row r="578" spans="1:17" x14ac:dyDescent="0.2">
      <c r="A578" s="41"/>
      <c r="B578" s="42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N578" s="38" t="str">
        <f t="shared" si="32"/>
        <v/>
      </c>
      <c r="O578" s="38" t="str">
        <f t="shared" si="33"/>
        <v/>
      </c>
      <c r="P578" s="37" t="str">
        <f t="shared" si="34"/>
        <v/>
      </c>
      <c r="Q578" s="37" t="str">
        <f t="shared" si="35"/>
        <v/>
      </c>
    </row>
    <row r="579" spans="1:17" x14ac:dyDescent="0.2">
      <c r="A579" s="41"/>
      <c r="B579" s="42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N579" s="38" t="str">
        <f t="shared" si="32"/>
        <v/>
      </c>
      <c r="O579" s="38" t="str">
        <f t="shared" si="33"/>
        <v/>
      </c>
      <c r="P579" s="37" t="str">
        <f t="shared" si="34"/>
        <v/>
      </c>
      <c r="Q579" s="37" t="str">
        <f t="shared" si="35"/>
        <v/>
      </c>
    </row>
    <row r="580" spans="1:17" x14ac:dyDescent="0.2">
      <c r="A580" s="41"/>
      <c r="B580" s="42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N580" s="38" t="str">
        <f t="shared" si="32"/>
        <v/>
      </c>
      <c r="O580" s="38" t="str">
        <f t="shared" si="33"/>
        <v/>
      </c>
      <c r="P580" s="37" t="str">
        <f t="shared" si="34"/>
        <v/>
      </c>
      <c r="Q580" s="37" t="str">
        <f t="shared" si="35"/>
        <v/>
      </c>
    </row>
    <row r="581" spans="1:17" x14ac:dyDescent="0.2">
      <c r="A581" s="41"/>
      <c r="B581" s="42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N581" s="38" t="str">
        <f t="shared" si="32"/>
        <v/>
      </c>
      <c r="O581" s="38" t="str">
        <f t="shared" si="33"/>
        <v/>
      </c>
      <c r="P581" s="37" t="str">
        <f t="shared" si="34"/>
        <v/>
      </c>
      <c r="Q581" s="37" t="str">
        <f t="shared" si="35"/>
        <v/>
      </c>
    </row>
    <row r="582" spans="1:17" x14ac:dyDescent="0.2">
      <c r="A582" s="41"/>
      <c r="B582" s="42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N582" s="38" t="str">
        <f t="shared" si="32"/>
        <v/>
      </c>
      <c r="O582" s="38" t="str">
        <f t="shared" si="33"/>
        <v/>
      </c>
      <c r="P582" s="37" t="str">
        <f t="shared" si="34"/>
        <v/>
      </c>
      <c r="Q582" s="37" t="str">
        <f t="shared" si="35"/>
        <v/>
      </c>
    </row>
    <row r="583" spans="1:17" x14ac:dyDescent="0.2">
      <c r="A583" s="41"/>
      <c r="B583" s="42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N583" s="38" t="str">
        <f t="shared" si="32"/>
        <v/>
      </c>
      <c r="O583" s="38" t="str">
        <f t="shared" si="33"/>
        <v/>
      </c>
      <c r="P583" s="37" t="str">
        <f t="shared" si="34"/>
        <v/>
      </c>
      <c r="Q583" s="37" t="str">
        <f t="shared" si="35"/>
        <v/>
      </c>
    </row>
    <row r="584" spans="1:17" x14ac:dyDescent="0.2">
      <c r="A584" s="41"/>
      <c r="B584" s="42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N584" s="38" t="str">
        <f t="shared" si="32"/>
        <v/>
      </c>
      <c r="O584" s="38" t="str">
        <f t="shared" si="33"/>
        <v/>
      </c>
      <c r="P584" s="37" t="str">
        <f t="shared" si="34"/>
        <v/>
      </c>
      <c r="Q584" s="37" t="str">
        <f t="shared" si="35"/>
        <v/>
      </c>
    </row>
    <row r="585" spans="1:17" x14ac:dyDescent="0.2">
      <c r="A585" s="41"/>
      <c r="B585" s="42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N585" s="38" t="str">
        <f t="shared" si="32"/>
        <v/>
      </c>
      <c r="O585" s="38" t="str">
        <f t="shared" si="33"/>
        <v/>
      </c>
      <c r="P585" s="37" t="str">
        <f t="shared" si="34"/>
        <v/>
      </c>
      <c r="Q585" s="37" t="str">
        <f t="shared" si="35"/>
        <v/>
      </c>
    </row>
    <row r="586" spans="1:17" x14ac:dyDescent="0.2">
      <c r="A586" s="41"/>
      <c r="B586" s="42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N586" s="38" t="str">
        <f t="shared" si="32"/>
        <v/>
      </c>
      <c r="O586" s="38" t="str">
        <f t="shared" si="33"/>
        <v/>
      </c>
      <c r="P586" s="37" t="str">
        <f t="shared" si="34"/>
        <v/>
      </c>
      <c r="Q586" s="37" t="str">
        <f t="shared" si="35"/>
        <v/>
      </c>
    </row>
    <row r="587" spans="1:17" x14ac:dyDescent="0.2">
      <c r="A587" s="41"/>
      <c r="B587" s="42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N587" s="38" t="str">
        <f t="shared" si="32"/>
        <v/>
      </c>
      <c r="O587" s="38" t="str">
        <f t="shared" si="33"/>
        <v/>
      </c>
      <c r="P587" s="37" t="str">
        <f t="shared" si="34"/>
        <v/>
      </c>
      <c r="Q587" s="37" t="str">
        <f t="shared" si="35"/>
        <v/>
      </c>
    </row>
    <row r="588" spans="1:17" x14ac:dyDescent="0.2">
      <c r="A588" s="41"/>
      <c r="B588" s="42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N588" s="38" t="str">
        <f t="shared" si="32"/>
        <v/>
      </c>
      <c r="O588" s="38" t="str">
        <f t="shared" si="33"/>
        <v/>
      </c>
      <c r="P588" s="37" t="str">
        <f t="shared" si="34"/>
        <v/>
      </c>
      <c r="Q588" s="37" t="str">
        <f t="shared" si="35"/>
        <v/>
      </c>
    </row>
    <row r="589" spans="1:17" x14ac:dyDescent="0.2">
      <c r="A589" s="41"/>
      <c r="B589" s="42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N589" s="38" t="str">
        <f t="shared" si="32"/>
        <v/>
      </c>
      <c r="O589" s="38" t="str">
        <f t="shared" si="33"/>
        <v/>
      </c>
      <c r="P589" s="37" t="str">
        <f t="shared" si="34"/>
        <v/>
      </c>
      <c r="Q589" s="37" t="str">
        <f t="shared" si="35"/>
        <v/>
      </c>
    </row>
    <row r="590" spans="1:17" x14ac:dyDescent="0.2">
      <c r="A590" s="41"/>
      <c r="B590" s="42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N590" s="38" t="str">
        <f t="shared" si="32"/>
        <v/>
      </c>
      <c r="O590" s="38" t="str">
        <f t="shared" si="33"/>
        <v/>
      </c>
      <c r="P590" s="37" t="str">
        <f t="shared" si="34"/>
        <v/>
      </c>
      <c r="Q590" s="37" t="str">
        <f t="shared" si="35"/>
        <v/>
      </c>
    </row>
    <row r="591" spans="1:17" x14ac:dyDescent="0.2">
      <c r="A591" s="41"/>
      <c r="B591" s="42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N591" s="38" t="str">
        <f t="shared" si="32"/>
        <v/>
      </c>
      <c r="O591" s="38" t="str">
        <f t="shared" si="33"/>
        <v/>
      </c>
      <c r="P591" s="37" t="str">
        <f t="shared" si="34"/>
        <v/>
      </c>
      <c r="Q591" s="37" t="str">
        <f t="shared" si="35"/>
        <v/>
      </c>
    </row>
    <row r="592" spans="1:17" x14ac:dyDescent="0.2">
      <c r="A592" s="41"/>
      <c r="B592" s="42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N592" s="38" t="str">
        <f t="shared" si="32"/>
        <v/>
      </c>
      <c r="O592" s="38" t="str">
        <f t="shared" si="33"/>
        <v/>
      </c>
      <c r="P592" s="37" t="str">
        <f t="shared" si="34"/>
        <v/>
      </c>
      <c r="Q592" s="37" t="str">
        <f t="shared" si="35"/>
        <v/>
      </c>
    </row>
    <row r="593" spans="1:17" x14ac:dyDescent="0.2">
      <c r="A593" s="41"/>
      <c r="B593" s="42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N593" s="38" t="str">
        <f t="shared" si="32"/>
        <v/>
      </c>
      <c r="O593" s="38" t="str">
        <f t="shared" si="33"/>
        <v/>
      </c>
      <c r="P593" s="37" t="str">
        <f t="shared" si="34"/>
        <v/>
      </c>
      <c r="Q593" s="37" t="str">
        <f t="shared" si="35"/>
        <v/>
      </c>
    </row>
    <row r="594" spans="1:17" x14ac:dyDescent="0.2">
      <c r="A594" s="41"/>
      <c r="B594" s="42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N594" s="38" t="str">
        <f t="shared" si="32"/>
        <v/>
      </c>
      <c r="O594" s="38" t="str">
        <f t="shared" si="33"/>
        <v/>
      </c>
      <c r="P594" s="37" t="str">
        <f t="shared" si="34"/>
        <v/>
      </c>
      <c r="Q594" s="37" t="str">
        <f t="shared" si="35"/>
        <v/>
      </c>
    </row>
    <row r="595" spans="1:17" x14ac:dyDescent="0.2">
      <c r="A595" s="41"/>
      <c r="B595" s="42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N595" s="38" t="str">
        <f t="shared" si="32"/>
        <v/>
      </c>
      <c r="O595" s="38" t="str">
        <f t="shared" si="33"/>
        <v/>
      </c>
      <c r="P595" s="37" t="str">
        <f t="shared" si="34"/>
        <v/>
      </c>
      <c r="Q595" s="37" t="str">
        <f t="shared" si="35"/>
        <v/>
      </c>
    </row>
    <row r="596" spans="1:17" x14ac:dyDescent="0.2">
      <c r="A596" s="41"/>
      <c r="B596" s="42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N596" s="38" t="str">
        <f t="shared" si="32"/>
        <v/>
      </c>
      <c r="O596" s="38" t="str">
        <f t="shared" si="33"/>
        <v/>
      </c>
      <c r="P596" s="37" t="str">
        <f t="shared" si="34"/>
        <v/>
      </c>
      <c r="Q596" s="37" t="str">
        <f t="shared" si="35"/>
        <v/>
      </c>
    </row>
    <row r="597" spans="1:17" x14ac:dyDescent="0.2">
      <c r="A597" s="41"/>
      <c r="B597" s="42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N597" s="38" t="str">
        <f t="shared" si="32"/>
        <v/>
      </c>
      <c r="O597" s="38" t="str">
        <f t="shared" si="33"/>
        <v/>
      </c>
      <c r="P597" s="37" t="str">
        <f t="shared" si="34"/>
        <v/>
      </c>
      <c r="Q597" s="37" t="str">
        <f t="shared" si="35"/>
        <v/>
      </c>
    </row>
    <row r="598" spans="1:17" x14ac:dyDescent="0.2">
      <c r="A598" s="41"/>
      <c r="B598" s="42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N598" s="38" t="str">
        <f t="shared" si="32"/>
        <v/>
      </c>
      <c r="O598" s="38" t="str">
        <f t="shared" si="33"/>
        <v/>
      </c>
      <c r="P598" s="37" t="str">
        <f t="shared" si="34"/>
        <v/>
      </c>
      <c r="Q598" s="37" t="str">
        <f t="shared" si="35"/>
        <v/>
      </c>
    </row>
    <row r="599" spans="1:17" x14ac:dyDescent="0.2">
      <c r="A599" s="41"/>
      <c r="B599" s="42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N599" s="38" t="str">
        <f t="shared" si="32"/>
        <v/>
      </c>
      <c r="O599" s="38" t="str">
        <f t="shared" si="33"/>
        <v/>
      </c>
      <c r="P599" s="37" t="str">
        <f t="shared" si="34"/>
        <v/>
      </c>
      <c r="Q599" s="37" t="str">
        <f t="shared" si="35"/>
        <v/>
      </c>
    </row>
    <row r="600" spans="1:17" x14ac:dyDescent="0.2">
      <c r="A600" s="41"/>
      <c r="B600" s="42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N600" s="38" t="str">
        <f t="shared" si="32"/>
        <v/>
      </c>
      <c r="O600" s="38" t="str">
        <f t="shared" si="33"/>
        <v/>
      </c>
      <c r="P600" s="37" t="str">
        <f t="shared" si="34"/>
        <v/>
      </c>
      <c r="Q600" s="37" t="str">
        <f t="shared" si="35"/>
        <v/>
      </c>
    </row>
    <row r="601" spans="1:17" x14ac:dyDescent="0.2">
      <c r="A601" s="41"/>
      <c r="B601" s="42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N601" s="38" t="str">
        <f t="shared" si="32"/>
        <v/>
      </c>
      <c r="O601" s="38" t="str">
        <f t="shared" si="33"/>
        <v/>
      </c>
      <c r="P601" s="37" t="str">
        <f t="shared" si="34"/>
        <v/>
      </c>
      <c r="Q601" s="37" t="str">
        <f t="shared" si="35"/>
        <v/>
      </c>
    </row>
    <row r="602" spans="1:17" x14ac:dyDescent="0.2">
      <c r="A602" s="41"/>
      <c r="B602" s="42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N602" s="38" t="str">
        <f t="shared" si="32"/>
        <v/>
      </c>
      <c r="O602" s="38" t="str">
        <f t="shared" si="33"/>
        <v/>
      </c>
      <c r="P602" s="37" t="str">
        <f t="shared" si="34"/>
        <v/>
      </c>
      <c r="Q602" s="37" t="str">
        <f t="shared" si="35"/>
        <v/>
      </c>
    </row>
    <row r="603" spans="1:17" x14ac:dyDescent="0.2">
      <c r="A603" s="41"/>
      <c r="B603" s="42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N603" s="38" t="str">
        <f t="shared" si="32"/>
        <v/>
      </c>
      <c r="O603" s="38" t="str">
        <f t="shared" si="33"/>
        <v/>
      </c>
      <c r="P603" s="37" t="str">
        <f t="shared" si="34"/>
        <v/>
      </c>
      <c r="Q603" s="37" t="str">
        <f t="shared" si="35"/>
        <v/>
      </c>
    </row>
    <row r="604" spans="1:17" x14ac:dyDescent="0.2">
      <c r="A604" s="41"/>
      <c r="B604" s="42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N604" s="38" t="str">
        <f t="shared" si="32"/>
        <v/>
      </c>
      <c r="O604" s="38" t="str">
        <f t="shared" si="33"/>
        <v/>
      </c>
      <c r="P604" s="37" t="str">
        <f t="shared" si="34"/>
        <v/>
      </c>
      <c r="Q604" s="37" t="str">
        <f t="shared" si="35"/>
        <v/>
      </c>
    </row>
    <row r="605" spans="1:17" x14ac:dyDescent="0.2">
      <c r="A605" s="41"/>
      <c r="B605" s="42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N605" s="38" t="str">
        <f t="shared" ref="N605:N668" si="36">IF(LEFT($L605,21)="Priority changed from",MID($L605,23,1),"")</f>
        <v/>
      </c>
      <c r="O605" s="38" t="str">
        <f t="shared" ref="O605:O668" si="37">IF(LEFT($L605,21)="Priority changed from",MID($L605,28,1),"")</f>
        <v/>
      </c>
      <c r="P605" s="37" t="str">
        <f t="shared" ref="P605:P668" si="38">IFERROR(IF(E605=1,"Yes",IF(OR(VALUE(N605)=1,VALUE(O605)=1),"Yes","No")),"")</f>
        <v/>
      </c>
      <c r="Q605" s="37" t="str">
        <f t="shared" ref="Q605:Q668" si="39">IFERROR(IF(P605="Yes","No",IF(E605=2,"Yes",IF(OR(VALUE(N605)=2,VALUE(O605)=2),"Yes","No"))),"")</f>
        <v/>
      </c>
    </row>
    <row r="606" spans="1:17" x14ac:dyDescent="0.2">
      <c r="A606" s="41"/>
      <c r="B606" s="42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N606" s="38" t="str">
        <f t="shared" si="36"/>
        <v/>
      </c>
      <c r="O606" s="38" t="str">
        <f t="shared" si="37"/>
        <v/>
      </c>
      <c r="P606" s="37" t="str">
        <f t="shared" si="38"/>
        <v/>
      </c>
      <c r="Q606" s="37" t="str">
        <f t="shared" si="39"/>
        <v/>
      </c>
    </row>
    <row r="607" spans="1:17" x14ac:dyDescent="0.2">
      <c r="A607" s="41"/>
      <c r="B607" s="42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N607" s="38" t="str">
        <f t="shared" si="36"/>
        <v/>
      </c>
      <c r="O607" s="38" t="str">
        <f t="shared" si="37"/>
        <v/>
      </c>
      <c r="P607" s="37" t="str">
        <f t="shared" si="38"/>
        <v/>
      </c>
      <c r="Q607" s="37" t="str">
        <f t="shared" si="39"/>
        <v/>
      </c>
    </row>
    <row r="608" spans="1:17" x14ac:dyDescent="0.2">
      <c r="A608" s="41"/>
      <c r="B608" s="42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N608" s="38" t="str">
        <f t="shared" si="36"/>
        <v/>
      </c>
      <c r="O608" s="38" t="str">
        <f t="shared" si="37"/>
        <v/>
      </c>
      <c r="P608" s="37" t="str">
        <f t="shared" si="38"/>
        <v/>
      </c>
      <c r="Q608" s="37" t="str">
        <f t="shared" si="39"/>
        <v/>
      </c>
    </row>
    <row r="609" spans="1:17" x14ac:dyDescent="0.2">
      <c r="A609" s="41"/>
      <c r="B609" s="42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N609" s="38" t="str">
        <f t="shared" si="36"/>
        <v/>
      </c>
      <c r="O609" s="38" t="str">
        <f t="shared" si="37"/>
        <v/>
      </c>
      <c r="P609" s="37" t="str">
        <f t="shared" si="38"/>
        <v/>
      </c>
      <c r="Q609" s="37" t="str">
        <f t="shared" si="39"/>
        <v/>
      </c>
    </row>
    <row r="610" spans="1:17" x14ac:dyDescent="0.2">
      <c r="A610" s="64"/>
      <c r="B610" s="42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N610" s="38" t="str">
        <f t="shared" si="36"/>
        <v/>
      </c>
      <c r="O610" s="38" t="str">
        <f t="shared" si="37"/>
        <v/>
      </c>
      <c r="P610" s="37" t="str">
        <f t="shared" si="38"/>
        <v/>
      </c>
      <c r="Q610" s="37" t="str">
        <f t="shared" si="39"/>
        <v/>
      </c>
    </row>
    <row r="611" spans="1:17" x14ac:dyDescent="0.2">
      <c r="A611" s="64"/>
      <c r="B611" s="42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N611" s="38" t="str">
        <f t="shared" si="36"/>
        <v/>
      </c>
      <c r="O611" s="38" t="str">
        <f t="shared" si="37"/>
        <v/>
      </c>
      <c r="P611" s="37" t="str">
        <f t="shared" si="38"/>
        <v/>
      </c>
      <c r="Q611" s="37" t="str">
        <f t="shared" si="39"/>
        <v/>
      </c>
    </row>
    <row r="612" spans="1:17" x14ac:dyDescent="0.2">
      <c r="A612" s="41"/>
      <c r="B612" s="42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N612" s="38" t="str">
        <f t="shared" si="36"/>
        <v/>
      </c>
      <c r="O612" s="38" t="str">
        <f t="shared" si="37"/>
        <v/>
      </c>
      <c r="P612" s="37" t="str">
        <f t="shared" si="38"/>
        <v/>
      </c>
      <c r="Q612" s="37" t="str">
        <f t="shared" si="39"/>
        <v/>
      </c>
    </row>
    <row r="613" spans="1:17" x14ac:dyDescent="0.2">
      <c r="A613" s="41"/>
      <c r="B613" s="42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N613" s="38" t="str">
        <f t="shared" si="36"/>
        <v/>
      </c>
      <c r="O613" s="38" t="str">
        <f t="shared" si="37"/>
        <v/>
      </c>
      <c r="P613" s="37" t="str">
        <f t="shared" si="38"/>
        <v/>
      </c>
      <c r="Q613" s="37" t="str">
        <f t="shared" si="39"/>
        <v/>
      </c>
    </row>
    <row r="614" spans="1:17" x14ac:dyDescent="0.2">
      <c r="A614" s="41"/>
      <c r="B614" s="42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N614" s="38" t="str">
        <f t="shared" si="36"/>
        <v/>
      </c>
      <c r="O614" s="38" t="str">
        <f t="shared" si="37"/>
        <v/>
      </c>
      <c r="P614" s="37" t="str">
        <f t="shared" si="38"/>
        <v/>
      </c>
      <c r="Q614" s="37" t="str">
        <f t="shared" si="39"/>
        <v/>
      </c>
    </row>
    <row r="615" spans="1:17" x14ac:dyDescent="0.2">
      <c r="A615" s="41"/>
      <c r="B615" s="42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N615" s="38" t="str">
        <f t="shared" si="36"/>
        <v/>
      </c>
      <c r="O615" s="38" t="str">
        <f t="shared" si="37"/>
        <v/>
      </c>
      <c r="P615" s="37" t="str">
        <f t="shared" si="38"/>
        <v/>
      </c>
      <c r="Q615" s="37" t="str">
        <f t="shared" si="39"/>
        <v/>
      </c>
    </row>
    <row r="616" spans="1:17" x14ac:dyDescent="0.2">
      <c r="A616" s="41"/>
      <c r="B616" s="42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N616" s="38" t="str">
        <f t="shared" si="36"/>
        <v/>
      </c>
      <c r="O616" s="38" t="str">
        <f t="shared" si="37"/>
        <v/>
      </c>
      <c r="P616" s="37" t="str">
        <f t="shared" si="38"/>
        <v/>
      </c>
      <c r="Q616" s="37" t="str">
        <f t="shared" si="39"/>
        <v/>
      </c>
    </row>
    <row r="617" spans="1:17" x14ac:dyDescent="0.2">
      <c r="A617" s="41"/>
      <c r="B617" s="42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N617" s="38" t="str">
        <f t="shared" si="36"/>
        <v/>
      </c>
      <c r="O617" s="38" t="str">
        <f t="shared" si="37"/>
        <v/>
      </c>
      <c r="P617" s="37" t="str">
        <f t="shared" si="38"/>
        <v/>
      </c>
      <c r="Q617" s="37" t="str">
        <f t="shared" si="39"/>
        <v/>
      </c>
    </row>
    <row r="618" spans="1:17" x14ac:dyDescent="0.2">
      <c r="A618" s="41"/>
      <c r="B618" s="42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N618" s="38" t="str">
        <f t="shared" si="36"/>
        <v/>
      </c>
      <c r="O618" s="38" t="str">
        <f t="shared" si="37"/>
        <v/>
      </c>
      <c r="P618" s="37" t="str">
        <f t="shared" si="38"/>
        <v/>
      </c>
      <c r="Q618" s="37" t="str">
        <f t="shared" si="39"/>
        <v/>
      </c>
    </row>
    <row r="619" spans="1:17" x14ac:dyDescent="0.2">
      <c r="A619" s="64"/>
      <c r="B619" s="42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N619" s="38" t="str">
        <f t="shared" si="36"/>
        <v/>
      </c>
      <c r="O619" s="38" t="str">
        <f t="shared" si="37"/>
        <v/>
      </c>
      <c r="P619" s="37" t="str">
        <f t="shared" si="38"/>
        <v/>
      </c>
      <c r="Q619" s="37" t="str">
        <f t="shared" si="39"/>
        <v/>
      </c>
    </row>
    <row r="620" spans="1:17" x14ac:dyDescent="0.2">
      <c r="A620" s="41"/>
      <c r="B620" s="42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N620" s="38" t="str">
        <f t="shared" si="36"/>
        <v/>
      </c>
      <c r="O620" s="38" t="str">
        <f t="shared" si="37"/>
        <v/>
      </c>
      <c r="P620" s="37" t="str">
        <f t="shared" si="38"/>
        <v/>
      </c>
      <c r="Q620" s="37" t="str">
        <f t="shared" si="39"/>
        <v/>
      </c>
    </row>
    <row r="621" spans="1:17" x14ac:dyDescent="0.2">
      <c r="A621" s="41"/>
      <c r="B621" s="42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N621" s="38" t="str">
        <f t="shared" si="36"/>
        <v/>
      </c>
      <c r="O621" s="38" t="str">
        <f t="shared" si="37"/>
        <v/>
      </c>
      <c r="P621" s="37" t="str">
        <f t="shared" si="38"/>
        <v/>
      </c>
      <c r="Q621" s="37" t="str">
        <f t="shared" si="39"/>
        <v/>
      </c>
    </row>
    <row r="622" spans="1:17" x14ac:dyDescent="0.2">
      <c r="A622" s="41"/>
      <c r="B622" s="42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N622" s="38" t="str">
        <f t="shared" si="36"/>
        <v/>
      </c>
      <c r="O622" s="38" t="str">
        <f t="shared" si="37"/>
        <v/>
      </c>
      <c r="P622" s="37" t="str">
        <f t="shared" si="38"/>
        <v/>
      </c>
      <c r="Q622" s="37" t="str">
        <f t="shared" si="39"/>
        <v/>
      </c>
    </row>
    <row r="623" spans="1:17" x14ac:dyDescent="0.2">
      <c r="A623" s="41"/>
      <c r="B623" s="42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N623" s="38" t="str">
        <f t="shared" si="36"/>
        <v/>
      </c>
      <c r="O623" s="38" t="str">
        <f t="shared" si="37"/>
        <v/>
      </c>
      <c r="P623" s="37" t="str">
        <f t="shared" si="38"/>
        <v/>
      </c>
      <c r="Q623" s="37" t="str">
        <f t="shared" si="39"/>
        <v/>
      </c>
    </row>
    <row r="624" spans="1:17" x14ac:dyDescent="0.2">
      <c r="A624" s="41"/>
      <c r="B624" s="42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N624" s="38" t="str">
        <f t="shared" si="36"/>
        <v/>
      </c>
      <c r="O624" s="38" t="str">
        <f t="shared" si="37"/>
        <v/>
      </c>
      <c r="P624" s="37" t="str">
        <f t="shared" si="38"/>
        <v/>
      </c>
      <c r="Q624" s="37" t="str">
        <f t="shared" si="39"/>
        <v/>
      </c>
    </row>
    <row r="625" spans="1:17" x14ac:dyDescent="0.2">
      <c r="A625" s="41"/>
      <c r="B625" s="42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N625" s="38" t="str">
        <f t="shared" si="36"/>
        <v/>
      </c>
      <c r="O625" s="38" t="str">
        <f t="shared" si="37"/>
        <v/>
      </c>
      <c r="P625" s="37" t="str">
        <f t="shared" si="38"/>
        <v/>
      </c>
      <c r="Q625" s="37" t="str">
        <f t="shared" si="39"/>
        <v/>
      </c>
    </row>
    <row r="626" spans="1:17" x14ac:dyDescent="0.2">
      <c r="A626" s="41"/>
      <c r="B626" s="42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N626" s="38" t="str">
        <f t="shared" si="36"/>
        <v/>
      </c>
      <c r="O626" s="38" t="str">
        <f t="shared" si="37"/>
        <v/>
      </c>
      <c r="P626" s="37" t="str">
        <f t="shared" si="38"/>
        <v/>
      </c>
      <c r="Q626" s="37" t="str">
        <f t="shared" si="39"/>
        <v/>
      </c>
    </row>
    <row r="627" spans="1:17" x14ac:dyDescent="0.2">
      <c r="A627" s="41"/>
      <c r="B627" s="42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N627" s="38" t="str">
        <f t="shared" si="36"/>
        <v/>
      </c>
      <c r="O627" s="38" t="str">
        <f t="shared" si="37"/>
        <v/>
      </c>
      <c r="P627" s="37" t="str">
        <f t="shared" si="38"/>
        <v/>
      </c>
      <c r="Q627" s="37" t="str">
        <f t="shared" si="39"/>
        <v/>
      </c>
    </row>
    <row r="628" spans="1:17" x14ac:dyDescent="0.2">
      <c r="A628" s="41"/>
      <c r="B628" s="42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N628" s="38" t="str">
        <f t="shared" si="36"/>
        <v/>
      </c>
      <c r="O628" s="38" t="str">
        <f t="shared" si="37"/>
        <v/>
      </c>
      <c r="P628" s="37" t="str">
        <f t="shared" si="38"/>
        <v/>
      </c>
      <c r="Q628" s="37" t="str">
        <f t="shared" si="39"/>
        <v/>
      </c>
    </row>
    <row r="629" spans="1:17" x14ac:dyDescent="0.2">
      <c r="A629" s="41"/>
      <c r="B629" s="42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N629" s="38" t="str">
        <f t="shared" si="36"/>
        <v/>
      </c>
      <c r="O629" s="38" t="str">
        <f t="shared" si="37"/>
        <v/>
      </c>
      <c r="P629" s="37" t="str">
        <f t="shared" si="38"/>
        <v/>
      </c>
      <c r="Q629" s="37" t="str">
        <f t="shared" si="39"/>
        <v/>
      </c>
    </row>
    <row r="630" spans="1:17" x14ac:dyDescent="0.2">
      <c r="A630" s="41"/>
      <c r="B630" s="42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N630" s="38" t="str">
        <f t="shared" si="36"/>
        <v/>
      </c>
      <c r="O630" s="38" t="str">
        <f t="shared" si="37"/>
        <v/>
      </c>
      <c r="P630" s="37" t="str">
        <f t="shared" si="38"/>
        <v/>
      </c>
      <c r="Q630" s="37" t="str">
        <f t="shared" si="39"/>
        <v/>
      </c>
    </row>
    <row r="631" spans="1:17" x14ac:dyDescent="0.2">
      <c r="A631" s="41"/>
      <c r="B631" s="42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N631" s="38" t="str">
        <f t="shared" si="36"/>
        <v/>
      </c>
      <c r="O631" s="38" t="str">
        <f t="shared" si="37"/>
        <v/>
      </c>
      <c r="P631" s="37" t="str">
        <f t="shared" si="38"/>
        <v/>
      </c>
      <c r="Q631" s="37" t="str">
        <f t="shared" si="39"/>
        <v/>
      </c>
    </row>
    <row r="632" spans="1:17" x14ac:dyDescent="0.2">
      <c r="A632" s="41"/>
      <c r="B632" s="42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N632" s="38" t="str">
        <f t="shared" si="36"/>
        <v/>
      </c>
      <c r="O632" s="38" t="str">
        <f t="shared" si="37"/>
        <v/>
      </c>
      <c r="P632" s="37" t="str">
        <f t="shared" si="38"/>
        <v/>
      </c>
      <c r="Q632" s="37" t="str">
        <f t="shared" si="39"/>
        <v/>
      </c>
    </row>
    <row r="633" spans="1:17" x14ac:dyDescent="0.2">
      <c r="A633" s="41"/>
      <c r="B633" s="42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N633" s="38" t="str">
        <f t="shared" si="36"/>
        <v/>
      </c>
      <c r="O633" s="38" t="str">
        <f t="shared" si="37"/>
        <v/>
      </c>
      <c r="P633" s="37" t="str">
        <f t="shared" si="38"/>
        <v/>
      </c>
      <c r="Q633" s="37" t="str">
        <f t="shared" si="39"/>
        <v/>
      </c>
    </row>
    <row r="634" spans="1:17" x14ac:dyDescent="0.2">
      <c r="A634" s="41"/>
      <c r="B634" s="42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N634" s="38" t="str">
        <f t="shared" si="36"/>
        <v/>
      </c>
      <c r="O634" s="38" t="str">
        <f t="shared" si="37"/>
        <v/>
      </c>
      <c r="P634" s="37" t="str">
        <f t="shared" si="38"/>
        <v/>
      </c>
      <c r="Q634" s="37" t="str">
        <f t="shared" si="39"/>
        <v/>
      </c>
    </row>
    <row r="635" spans="1:17" x14ac:dyDescent="0.2">
      <c r="A635" s="41"/>
      <c r="B635" s="42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N635" s="38" t="str">
        <f t="shared" si="36"/>
        <v/>
      </c>
      <c r="O635" s="38" t="str">
        <f t="shared" si="37"/>
        <v/>
      </c>
      <c r="P635" s="37" t="str">
        <f t="shared" si="38"/>
        <v/>
      </c>
      <c r="Q635" s="37" t="str">
        <f t="shared" si="39"/>
        <v/>
      </c>
    </row>
    <row r="636" spans="1:17" x14ac:dyDescent="0.2">
      <c r="A636" s="41"/>
      <c r="B636" s="42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N636" s="38" t="str">
        <f t="shared" si="36"/>
        <v/>
      </c>
      <c r="O636" s="38" t="str">
        <f t="shared" si="37"/>
        <v/>
      </c>
      <c r="P636" s="37" t="str">
        <f t="shared" si="38"/>
        <v/>
      </c>
      <c r="Q636" s="37" t="str">
        <f t="shared" si="39"/>
        <v/>
      </c>
    </row>
    <row r="637" spans="1:17" x14ac:dyDescent="0.2">
      <c r="A637" s="41"/>
      <c r="B637" s="42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N637" s="38" t="str">
        <f t="shared" si="36"/>
        <v/>
      </c>
      <c r="O637" s="38" t="str">
        <f t="shared" si="37"/>
        <v/>
      </c>
      <c r="P637" s="37" t="str">
        <f t="shared" si="38"/>
        <v/>
      </c>
      <c r="Q637" s="37" t="str">
        <f t="shared" si="39"/>
        <v/>
      </c>
    </row>
    <row r="638" spans="1:17" x14ac:dyDescent="0.2">
      <c r="A638" s="41"/>
      <c r="B638" s="42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N638" s="38" t="str">
        <f t="shared" si="36"/>
        <v/>
      </c>
      <c r="O638" s="38" t="str">
        <f t="shared" si="37"/>
        <v/>
      </c>
      <c r="P638" s="37" t="str">
        <f t="shared" si="38"/>
        <v/>
      </c>
      <c r="Q638" s="37" t="str">
        <f t="shared" si="39"/>
        <v/>
      </c>
    </row>
    <row r="639" spans="1:17" x14ac:dyDescent="0.2">
      <c r="A639" s="41"/>
      <c r="B639" s="42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N639" s="38" t="str">
        <f t="shared" si="36"/>
        <v/>
      </c>
      <c r="O639" s="38" t="str">
        <f t="shared" si="37"/>
        <v/>
      </c>
      <c r="P639" s="37" t="str">
        <f t="shared" si="38"/>
        <v/>
      </c>
      <c r="Q639" s="37" t="str">
        <f t="shared" si="39"/>
        <v/>
      </c>
    </row>
    <row r="640" spans="1:17" x14ac:dyDescent="0.2">
      <c r="A640" s="41"/>
      <c r="B640" s="42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N640" s="38" t="str">
        <f t="shared" si="36"/>
        <v/>
      </c>
      <c r="O640" s="38" t="str">
        <f t="shared" si="37"/>
        <v/>
      </c>
      <c r="P640" s="37" t="str">
        <f t="shared" si="38"/>
        <v/>
      </c>
      <c r="Q640" s="37" t="str">
        <f t="shared" si="39"/>
        <v/>
      </c>
    </row>
    <row r="641" spans="1:17" x14ac:dyDescent="0.2">
      <c r="A641" s="41"/>
      <c r="B641" s="42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N641" s="38" t="str">
        <f t="shared" si="36"/>
        <v/>
      </c>
      <c r="O641" s="38" t="str">
        <f t="shared" si="37"/>
        <v/>
      </c>
      <c r="P641" s="37" t="str">
        <f t="shared" si="38"/>
        <v/>
      </c>
      <c r="Q641" s="37" t="str">
        <f t="shared" si="39"/>
        <v/>
      </c>
    </row>
    <row r="642" spans="1:17" x14ac:dyDescent="0.2">
      <c r="A642" s="41"/>
      <c r="B642" s="42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N642" s="38" t="str">
        <f t="shared" si="36"/>
        <v/>
      </c>
      <c r="O642" s="38" t="str">
        <f t="shared" si="37"/>
        <v/>
      </c>
      <c r="P642" s="37" t="str">
        <f t="shared" si="38"/>
        <v/>
      </c>
      <c r="Q642" s="37" t="str">
        <f t="shared" si="39"/>
        <v/>
      </c>
    </row>
    <row r="643" spans="1:17" x14ac:dyDescent="0.2">
      <c r="A643" s="41"/>
      <c r="B643" s="42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N643" s="38" t="str">
        <f t="shared" si="36"/>
        <v/>
      </c>
      <c r="O643" s="38" t="str">
        <f t="shared" si="37"/>
        <v/>
      </c>
      <c r="P643" s="37" t="str">
        <f t="shared" si="38"/>
        <v/>
      </c>
      <c r="Q643" s="37" t="str">
        <f t="shared" si="39"/>
        <v/>
      </c>
    </row>
    <row r="644" spans="1:17" x14ac:dyDescent="0.2">
      <c r="A644" s="41"/>
      <c r="B644" s="42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N644" s="38" t="str">
        <f t="shared" si="36"/>
        <v/>
      </c>
      <c r="O644" s="38" t="str">
        <f t="shared" si="37"/>
        <v/>
      </c>
      <c r="P644" s="37" t="str">
        <f t="shared" si="38"/>
        <v/>
      </c>
      <c r="Q644" s="37" t="str">
        <f t="shared" si="39"/>
        <v/>
      </c>
    </row>
    <row r="645" spans="1:17" x14ac:dyDescent="0.2">
      <c r="A645" s="41"/>
      <c r="B645" s="42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N645" s="38" t="str">
        <f t="shared" si="36"/>
        <v/>
      </c>
      <c r="O645" s="38" t="str">
        <f t="shared" si="37"/>
        <v/>
      </c>
      <c r="P645" s="37" t="str">
        <f t="shared" si="38"/>
        <v/>
      </c>
      <c r="Q645" s="37" t="str">
        <f t="shared" si="39"/>
        <v/>
      </c>
    </row>
    <row r="646" spans="1:17" x14ac:dyDescent="0.2">
      <c r="A646" s="41"/>
      <c r="B646" s="42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N646" s="38" t="str">
        <f t="shared" si="36"/>
        <v/>
      </c>
      <c r="O646" s="38" t="str">
        <f t="shared" si="37"/>
        <v/>
      </c>
      <c r="P646" s="37" t="str">
        <f t="shared" si="38"/>
        <v/>
      </c>
      <c r="Q646" s="37" t="str">
        <f t="shared" si="39"/>
        <v/>
      </c>
    </row>
    <row r="647" spans="1:17" x14ac:dyDescent="0.2">
      <c r="A647" s="41"/>
      <c r="B647" s="42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N647" s="38" t="str">
        <f t="shared" si="36"/>
        <v/>
      </c>
      <c r="O647" s="38" t="str">
        <f t="shared" si="37"/>
        <v/>
      </c>
      <c r="P647" s="37" t="str">
        <f t="shared" si="38"/>
        <v/>
      </c>
      <c r="Q647" s="37" t="str">
        <f t="shared" si="39"/>
        <v/>
      </c>
    </row>
    <row r="648" spans="1:17" x14ac:dyDescent="0.2">
      <c r="A648" s="41"/>
      <c r="B648" s="42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N648" s="38" t="str">
        <f t="shared" si="36"/>
        <v/>
      </c>
      <c r="O648" s="38" t="str">
        <f t="shared" si="37"/>
        <v/>
      </c>
      <c r="P648" s="37" t="str">
        <f t="shared" si="38"/>
        <v/>
      </c>
      <c r="Q648" s="37" t="str">
        <f t="shared" si="39"/>
        <v/>
      </c>
    </row>
    <row r="649" spans="1:17" x14ac:dyDescent="0.2">
      <c r="A649" s="41"/>
      <c r="B649" s="42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N649" s="38" t="str">
        <f t="shared" si="36"/>
        <v/>
      </c>
      <c r="O649" s="38" t="str">
        <f t="shared" si="37"/>
        <v/>
      </c>
      <c r="P649" s="37" t="str">
        <f t="shared" si="38"/>
        <v/>
      </c>
      <c r="Q649" s="37" t="str">
        <f t="shared" si="39"/>
        <v/>
      </c>
    </row>
    <row r="650" spans="1:17" x14ac:dyDescent="0.2">
      <c r="A650" s="41"/>
      <c r="B650" s="42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N650" s="38" t="str">
        <f t="shared" si="36"/>
        <v/>
      </c>
      <c r="O650" s="38" t="str">
        <f t="shared" si="37"/>
        <v/>
      </c>
      <c r="P650" s="37" t="str">
        <f t="shared" si="38"/>
        <v/>
      </c>
      <c r="Q650" s="37" t="str">
        <f t="shared" si="39"/>
        <v/>
      </c>
    </row>
    <row r="651" spans="1:17" x14ac:dyDescent="0.2">
      <c r="A651" s="41"/>
      <c r="B651" s="42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N651" s="38" t="str">
        <f t="shared" si="36"/>
        <v/>
      </c>
      <c r="O651" s="38" t="str">
        <f t="shared" si="37"/>
        <v/>
      </c>
      <c r="P651" s="37" t="str">
        <f t="shared" si="38"/>
        <v/>
      </c>
      <c r="Q651" s="37" t="str">
        <f t="shared" si="39"/>
        <v/>
      </c>
    </row>
    <row r="652" spans="1:17" x14ac:dyDescent="0.2">
      <c r="A652" s="41"/>
      <c r="B652" s="42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N652" s="38" t="str">
        <f t="shared" si="36"/>
        <v/>
      </c>
      <c r="O652" s="38" t="str">
        <f t="shared" si="37"/>
        <v/>
      </c>
      <c r="P652" s="37" t="str">
        <f t="shared" si="38"/>
        <v/>
      </c>
      <c r="Q652" s="37" t="str">
        <f t="shared" si="39"/>
        <v/>
      </c>
    </row>
    <row r="653" spans="1:17" x14ac:dyDescent="0.2">
      <c r="A653" s="41"/>
      <c r="B653" s="42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N653" s="38" t="str">
        <f t="shared" si="36"/>
        <v/>
      </c>
      <c r="O653" s="38" t="str">
        <f t="shared" si="37"/>
        <v/>
      </c>
      <c r="P653" s="37" t="str">
        <f t="shared" si="38"/>
        <v/>
      </c>
      <c r="Q653" s="37" t="str">
        <f t="shared" si="39"/>
        <v/>
      </c>
    </row>
    <row r="654" spans="1:17" x14ac:dyDescent="0.2">
      <c r="A654" s="41"/>
      <c r="B654" s="42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N654" s="38" t="str">
        <f t="shared" si="36"/>
        <v/>
      </c>
      <c r="O654" s="38" t="str">
        <f t="shared" si="37"/>
        <v/>
      </c>
      <c r="P654" s="37" t="str">
        <f t="shared" si="38"/>
        <v/>
      </c>
      <c r="Q654" s="37" t="str">
        <f t="shared" si="39"/>
        <v/>
      </c>
    </row>
    <row r="655" spans="1:17" x14ac:dyDescent="0.2">
      <c r="A655" s="41"/>
      <c r="B655" s="42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N655" s="38" t="str">
        <f t="shared" si="36"/>
        <v/>
      </c>
      <c r="O655" s="38" t="str">
        <f t="shared" si="37"/>
        <v/>
      </c>
      <c r="P655" s="37" t="str">
        <f t="shared" si="38"/>
        <v/>
      </c>
      <c r="Q655" s="37" t="str">
        <f t="shared" si="39"/>
        <v/>
      </c>
    </row>
    <row r="656" spans="1:17" x14ac:dyDescent="0.2">
      <c r="A656" s="41"/>
      <c r="B656" s="42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N656" s="38" t="str">
        <f t="shared" si="36"/>
        <v/>
      </c>
      <c r="O656" s="38" t="str">
        <f t="shared" si="37"/>
        <v/>
      </c>
      <c r="P656" s="37" t="str">
        <f t="shared" si="38"/>
        <v/>
      </c>
      <c r="Q656" s="37" t="str">
        <f t="shared" si="39"/>
        <v/>
      </c>
    </row>
    <row r="657" spans="1:17" x14ac:dyDescent="0.2">
      <c r="A657" s="41"/>
      <c r="B657" s="42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N657" s="38" t="str">
        <f t="shared" si="36"/>
        <v/>
      </c>
      <c r="O657" s="38" t="str">
        <f t="shared" si="37"/>
        <v/>
      </c>
      <c r="P657" s="37" t="str">
        <f t="shared" si="38"/>
        <v/>
      </c>
      <c r="Q657" s="37" t="str">
        <f t="shared" si="39"/>
        <v/>
      </c>
    </row>
    <row r="658" spans="1:17" x14ac:dyDescent="0.2">
      <c r="A658" s="41"/>
      <c r="B658" s="42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N658" s="38" t="str">
        <f t="shared" si="36"/>
        <v/>
      </c>
      <c r="O658" s="38" t="str">
        <f t="shared" si="37"/>
        <v/>
      </c>
      <c r="P658" s="37" t="str">
        <f t="shared" si="38"/>
        <v/>
      </c>
      <c r="Q658" s="37" t="str">
        <f t="shared" si="39"/>
        <v/>
      </c>
    </row>
    <row r="659" spans="1:17" x14ac:dyDescent="0.2">
      <c r="A659" s="41"/>
      <c r="B659" s="42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N659" s="38" t="str">
        <f t="shared" si="36"/>
        <v/>
      </c>
      <c r="O659" s="38" t="str">
        <f t="shared" si="37"/>
        <v/>
      </c>
      <c r="P659" s="37" t="str">
        <f t="shared" si="38"/>
        <v/>
      </c>
      <c r="Q659" s="37" t="str">
        <f t="shared" si="39"/>
        <v/>
      </c>
    </row>
    <row r="660" spans="1:17" x14ac:dyDescent="0.2">
      <c r="A660" s="41"/>
      <c r="B660" s="42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N660" s="38" t="str">
        <f t="shared" si="36"/>
        <v/>
      </c>
      <c r="O660" s="38" t="str">
        <f t="shared" si="37"/>
        <v/>
      </c>
      <c r="P660" s="37" t="str">
        <f t="shared" si="38"/>
        <v/>
      </c>
      <c r="Q660" s="37" t="str">
        <f t="shared" si="39"/>
        <v/>
      </c>
    </row>
    <row r="661" spans="1:17" x14ac:dyDescent="0.2">
      <c r="A661" s="41"/>
      <c r="B661" s="42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N661" s="38" t="str">
        <f t="shared" si="36"/>
        <v/>
      </c>
      <c r="O661" s="38" t="str">
        <f t="shared" si="37"/>
        <v/>
      </c>
      <c r="P661" s="37" t="str">
        <f t="shared" si="38"/>
        <v/>
      </c>
      <c r="Q661" s="37" t="str">
        <f t="shared" si="39"/>
        <v/>
      </c>
    </row>
    <row r="662" spans="1:17" x14ac:dyDescent="0.2">
      <c r="A662" s="41"/>
      <c r="B662" s="42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N662" s="38" t="str">
        <f t="shared" si="36"/>
        <v/>
      </c>
      <c r="O662" s="38" t="str">
        <f t="shared" si="37"/>
        <v/>
      </c>
      <c r="P662" s="37" t="str">
        <f t="shared" si="38"/>
        <v/>
      </c>
      <c r="Q662" s="37" t="str">
        <f t="shared" si="39"/>
        <v/>
      </c>
    </row>
    <row r="663" spans="1:17" x14ac:dyDescent="0.2">
      <c r="A663" s="41"/>
      <c r="B663" s="42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N663" s="38" t="str">
        <f t="shared" si="36"/>
        <v/>
      </c>
      <c r="O663" s="38" t="str">
        <f t="shared" si="37"/>
        <v/>
      </c>
      <c r="P663" s="37" t="str">
        <f t="shared" si="38"/>
        <v/>
      </c>
      <c r="Q663" s="37" t="str">
        <f t="shared" si="39"/>
        <v/>
      </c>
    </row>
    <row r="664" spans="1:17" x14ac:dyDescent="0.2">
      <c r="A664" s="41"/>
      <c r="B664" s="42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N664" s="38" t="str">
        <f t="shared" si="36"/>
        <v/>
      </c>
      <c r="O664" s="38" t="str">
        <f t="shared" si="37"/>
        <v/>
      </c>
      <c r="P664" s="37" t="str">
        <f t="shared" si="38"/>
        <v/>
      </c>
      <c r="Q664" s="37" t="str">
        <f t="shared" si="39"/>
        <v/>
      </c>
    </row>
    <row r="665" spans="1:17" x14ac:dyDescent="0.2">
      <c r="A665" s="41"/>
      <c r="B665" s="42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N665" s="38" t="str">
        <f t="shared" si="36"/>
        <v/>
      </c>
      <c r="O665" s="38" t="str">
        <f t="shared" si="37"/>
        <v/>
      </c>
      <c r="P665" s="37" t="str">
        <f t="shared" si="38"/>
        <v/>
      </c>
      <c r="Q665" s="37" t="str">
        <f t="shared" si="39"/>
        <v/>
      </c>
    </row>
    <row r="666" spans="1:17" x14ac:dyDescent="0.2">
      <c r="A666" s="41"/>
      <c r="B666" s="42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N666" s="38" t="str">
        <f t="shared" si="36"/>
        <v/>
      </c>
      <c r="O666" s="38" t="str">
        <f t="shared" si="37"/>
        <v/>
      </c>
      <c r="P666" s="37" t="str">
        <f t="shared" si="38"/>
        <v/>
      </c>
      <c r="Q666" s="37" t="str">
        <f t="shared" si="39"/>
        <v/>
      </c>
    </row>
    <row r="667" spans="1:17" x14ac:dyDescent="0.2">
      <c r="A667" s="41"/>
      <c r="B667" s="42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N667" s="38" t="str">
        <f t="shared" si="36"/>
        <v/>
      </c>
      <c r="O667" s="38" t="str">
        <f t="shared" si="37"/>
        <v/>
      </c>
      <c r="P667" s="37" t="str">
        <f t="shared" si="38"/>
        <v/>
      </c>
      <c r="Q667" s="37" t="str">
        <f t="shared" si="39"/>
        <v/>
      </c>
    </row>
    <row r="668" spans="1:17" x14ac:dyDescent="0.2">
      <c r="A668" s="41"/>
      <c r="B668" s="42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N668" s="38" t="str">
        <f t="shared" si="36"/>
        <v/>
      </c>
      <c r="O668" s="38" t="str">
        <f t="shared" si="37"/>
        <v/>
      </c>
      <c r="P668" s="37" t="str">
        <f t="shared" si="38"/>
        <v/>
      </c>
      <c r="Q668" s="37" t="str">
        <f t="shared" si="39"/>
        <v/>
      </c>
    </row>
    <row r="669" spans="1:17" x14ac:dyDescent="0.2">
      <c r="A669" s="41"/>
      <c r="B669" s="42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N669" s="38" t="str">
        <f t="shared" ref="N669:N732" si="40">IF(LEFT($L669,21)="Priority changed from",MID($L669,23,1),"")</f>
        <v/>
      </c>
      <c r="O669" s="38" t="str">
        <f t="shared" ref="O669:O732" si="41">IF(LEFT($L669,21)="Priority changed from",MID($L669,28,1),"")</f>
        <v/>
      </c>
      <c r="P669" s="37" t="str">
        <f t="shared" ref="P669:P732" si="42">IFERROR(IF(E669=1,"Yes",IF(OR(VALUE(N669)=1,VALUE(O669)=1),"Yes","No")),"")</f>
        <v/>
      </c>
      <c r="Q669" s="37" t="str">
        <f t="shared" ref="Q669:Q732" si="43">IFERROR(IF(P669="Yes","No",IF(E669=2,"Yes",IF(OR(VALUE(N669)=2,VALUE(O669)=2),"Yes","No"))),"")</f>
        <v/>
      </c>
    </row>
    <row r="670" spans="1:17" x14ac:dyDescent="0.2">
      <c r="A670" s="41"/>
      <c r="B670" s="42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N670" s="38" t="str">
        <f t="shared" si="40"/>
        <v/>
      </c>
      <c r="O670" s="38" t="str">
        <f t="shared" si="41"/>
        <v/>
      </c>
      <c r="P670" s="37" t="str">
        <f t="shared" si="42"/>
        <v/>
      </c>
      <c r="Q670" s="37" t="str">
        <f t="shared" si="43"/>
        <v/>
      </c>
    </row>
    <row r="671" spans="1:17" x14ac:dyDescent="0.2">
      <c r="A671" s="41"/>
      <c r="B671" s="42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N671" s="38" t="str">
        <f t="shared" si="40"/>
        <v/>
      </c>
      <c r="O671" s="38" t="str">
        <f t="shared" si="41"/>
        <v/>
      </c>
      <c r="P671" s="37" t="str">
        <f t="shared" si="42"/>
        <v/>
      </c>
      <c r="Q671" s="37" t="str">
        <f t="shared" si="43"/>
        <v/>
      </c>
    </row>
    <row r="672" spans="1:17" x14ac:dyDescent="0.2">
      <c r="A672" s="41"/>
      <c r="B672" s="42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N672" s="38" t="str">
        <f t="shared" si="40"/>
        <v/>
      </c>
      <c r="O672" s="38" t="str">
        <f t="shared" si="41"/>
        <v/>
      </c>
      <c r="P672" s="37" t="str">
        <f t="shared" si="42"/>
        <v/>
      </c>
      <c r="Q672" s="37" t="str">
        <f t="shared" si="43"/>
        <v/>
      </c>
    </row>
    <row r="673" spans="1:17" x14ac:dyDescent="0.2">
      <c r="A673" s="41"/>
      <c r="B673" s="42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N673" s="38" t="str">
        <f t="shared" si="40"/>
        <v/>
      </c>
      <c r="O673" s="38" t="str">
        <f t="shared" si="41"/>
        <v/>
      </c>
      <c r="P673" s="37" t="str">
        <f t="shared" si="42"/>
        <v/>
      </c>
      <c r="Q673" s="37" t="str">
        <f t="shared" si="43"/>
        <v/>
      </c>
    </row>
    <row r="674" spans="1:17" x14ac:dyDescent="0.2">
      <c r="A674" s="64"/>
      <c r="B674" s="42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N674" s="38" t="str">
        <f t="shared" si="40"/>
        <v/>
      </c>
      <c r="O674" s="38" t="str">
        <f t="shared" si="41"/>
        <v/>
      </c>
      <c r="P674" s="37" t="str">
        <f t="shared" si="42"/>
        <v/>
      </c>
      <c r="Q674" s="37" t="str">
        <f t="shared" si="43"/>
        <v/>
      </c>
    </row>
    <row r="675" spans="1:17" x14ac:dyDescent="0.2">
      <c r="A675" s="64"/>
      <c r="B675" s="42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N675" s="38" t="str">
        <f t="shared" si="40"/>
        <v/>
      </c>
      <c r="O675" s="38" t="str">
        <f t="shared" si="41"/>
        <v/>
      </c>
      <c r="P675" s="37" t="str">
        <f t="shared" si="42"/>
        <v/>
      </c>
      <c r="Q675" s="37" t="str">
        <f t="shared" si="43"/>
        <v/>
      </c>
    </row>
    <row r="676" spans="1:17" x14ac:dyDescent="0.2">
      <c r="A676" s="41"/>
      <c r="B676" s="42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N676" s="38" t="str">
        <f t="shared" si="40"/>
        <v/>
      </c>
      <c r="O676" s="38" t="str">
        <f t="shared" si="41"/>
        <v/>
      </c>
      <c r="P676" s="37" t="str">
        <f t="shared" si="42"/>
        <v/>
      </c>
      <c r="Q676" s="37" t="str">
        <f t="shared" si="43"/>
        <v/>
      </c>
    </row>
    <row r="677" spans="1:17" x14ac:dyDescent="0.2">
      <c r="A677" s="41"/>
      <c r="B677" s="42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N677" s="38" t="str">
        <f t="shared" si="40"/>
        <v/>
      </c>
      <c r="O677" s="38" t="str">
        <f t="shared" si="41"/>
        <v/>
      </c>
      <c r="P677" s="37" t="str">
        <f t="shared" si="42"/>
        <v/>
      </c>
      <c r="Q677" s="37" t="str">
        <f t="shared" si="43"/>
        <v/>
      </c>
    </row>
    <row r="678" spans="1:17" x14ac:dyDescent="0.2">
      <c r="A678" s="41"/>
      <c r="B678" s="42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N678" s="38" t="str">
        <f t="shared" si="40"/>
        <v/>
      </c>
      <c r="O678" s="38" t="str">
        <f t="shared" si="41"/>
        <v/>
      </c>
      <c r="P678" s="37" t="str">
        <f t="shared" si="42"/>
        <v/>
      </c>
      <c r="Q678" s="37" t="str">
        <f t="shared" si="43"/>
        <v/>
      </c>
    </row>
    <row r="679" spans="1:17" x14ac:dyDescent="0.2">
      <c r="A679" s="41"/>
      <c r="B679" s="42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N679" s="38" t="str">
        <f t="shared" si="40"/>
        <v/>
      </c>
      <c r="O679" s="38" t="str">
        <f t="shared" si="41"/>
        <v/>
      </c>
      <c r="P679" s="37" t="str">
        <f t="shared" si="42"/>
        <v/>
      </c>
      <c r="Q679" s="37" t="str">
        <f t="shared" si="43"/>
        <v/>
      </c>
    </row>
    <row r="680" spans="1:17" x14ac:dyDescent="0.2">
      <c r="A680" s="41"/>
      <c r="B680" s="42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N680" s="38" t="str">
        <f t="shared" si="40"/>
        <v/>
      </c>
      <c r="O680" s="38" t="str">
        <f t="shared" si="41"/>
        <v/>
      </c>
      <c r="P680" s="37" t="str">
        <f t="shared" si="42"/>
        <v/>
      </c>
      <c r="Q680" s="37" t="str">
        <f t="shared" si="43"/>
        <v/>
      </c>
    </row>
    <row r="681" spans="1:17" x14ac:dyDescent="0.2">
      <c r="A681" s="41"/>
      <c r="B681" s="42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N681" s="38" t="str">
        <f t="shared" si="40"/>
        <v/>
      </c>
      <c r="O681" s="38" t="str">
        <f t="shared" si="41"/>
        <v/>
      </c>
      <c r="P681" s="37" t="str">
        <f t="shared" si="42"/>
        <v/>
      </c>
      <c r="Q681" s="37" t="str">
        <f t="shared" si="43"/>
        <v/>
      </c>
    </row>
    <row r="682" spans="1:17" x14ac:dyDescent="0.2">
      <c r="A682" s="41"/>
      <c r="B682" s="42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N682" s="38" t="str">
        <f t="shared" si="40"/>
        <v/>
      </c>
      <c r="O682" s="38" t="str">
        <f t="shared" si="41"/>
        <v/>
      </c>
      <c r="P682" s="37" t="str">
        <f t="shared" si="42"/>
        <v/>
      </c>
      <c r="Q682" s="37" t="str">
        <f t="shared" si="43"/>
        <v/>
      </c>
    </row>
    <row r="683" spans="1:17" x14ac:dyDescent="0.2">
      <c r="A683" s="41"/>
      <c r="B683" s="42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N683" s="38" t="str">
        <f t="shared" si="40"/>
        <v/>
      </c>
      <c r="O683" s="38" t="str">
        <f t="shared" si="41"/>
        <v/>
      </c>
      <c r="P683" s="37" t="str">
        <f t="shared" si="42"/>
        <v/>
      </c>
      <c r="Q683" s="37" t="str">
        <f t="shared" si="43"/>
        <v/>
      </c>
    </row>
    <row r="684" spans="1:17" x14ac:dyDescent="0.2">
      <c r="A684" s="41"/>
      <c r="B684" s="42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N684" s="38" t="str">
        <f t="shared" si="40"/>
        <v/>
      </c>
      <c r="O684" s="38" t="str">
        <f t="shared" si="41"/>
        <v/>
      </c>
      <c r="P684" s="37" t="str">
        <f t="shared" si="42"/>
        <v/>
      </c>
      <c r="Q684" s="37" t="str">
        <f t="shared" si="43"/>
        <v/>
      </c>
    </row>
    <row r="685" spans="1:17" x14ac:dyDescent="0.2">
      <c r="A685" s="41"/>
      <c r="B685" s="42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N685" s="38" t="str">
        <f t="shared" si="40"/>
        <v/>
      </c>
      <c r="O685" s="38" t="str">
        <f t="shared" si="41"/>
        <v/>
      </c>
      <c r="P685" s="37" t="str">
        <f t="shared" si="42"/>
        <v/>
      </c>
      <c r="Q685" s="37" t="str">
        <f t="shared" si="43"/>
        <v/>
      </c>
    </row>
    <row r="686" spans="1:17" x14ac:dyDescent="0.2">
      <c r="A686" s="41"/>
      <c r="B686" s="42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N686" s="38" t="str">
        <f t="shared" si="40"/>
        <v/>
      </c>
      <c r="O686" s="38" t="str">
        <f t="shared" si="41"/>
        <v/>
      </c>
      <c r="P686" s="37" t="str">
        <f t="shared" si="42"/>
        <v/>
      </c>
      <c r="Q686" s="37" t="str">
        <f t="shared" si="43"/>
        <v/>
      </c>
    </row>
    <row r="687" spans="1:17" x14ac:dyDescent="0.2">
      <c r="A687" s="41"/>
      <c r="B687" s="42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N687" s="38" t="str">
        <f t="shared" si="40"/>
        <v/>
      </c>
      <c r="O687" s="38" t="str">
        <f t="shared" si="41"/>
        <v/>
      </c>
      <c r="P687" s="37" t="str">
        <f t="shared" si="42"/>
        <v/>
      </c>
      <c r="Q687" s="37" t="str">
        <f t="shared" si="43"/>
        <v/>
      </c>
    </row>
    <row r="688" spans="1:17" x14ac:dyDescent="0.2">
      <c r="A688" s="64"/>
      <c r="B688" s="42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N688" s="38" t="str">
        <f t="shared" si="40"/>
        <v/>
      </c>
      <c r="O688" s="38" t="str">
        <f t="shared" si="41"/>
        <v/>
      </c>
      <c r="P688" s="37" t="str">
        <f t="shared" si="42"/>
        <v/>
      </c>
      <c r="Q688" s="37" t="str">
        <f t="shared" si="43"/>
        <v/>
      </c>
    </row>
    <row r="689" spans="1:17" x14ac:dyDescent="0.2">
      <c r="A689" s="41"/>
      <c r="B689" s="42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N689" s="38" t="str">
        <f t="shared" si="40"/>
        <v/>
      </c>
      <c r="O689" s="38" t="str">
        <f t="shared" si="41"/>
        <v/>
      </c>
      <c r="P689" s="37" t="str">
        <f t="shared" si="42"/>
        <v/>
      </c>
      <c r="Q689" s="37" t="str">
        <f t="shared" si="43"/>
        <v/>
      </c>
    </row>
    <row r="690" spans="1:17" x14ac:dyDescent="0.2">
      <c r="A690" s="41"/>
      <c r="B690" s="42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N690" s="38" t="str">
        <f t="shared" si="40"/>
        <v/>
      </c>
      <c r="O690" s="38" t="str">
        <f t="shared" si="41"/>
        <v/>
      </c>
      <c r="P690" s="37" t="str">
        <f t="shared" si="42"/>
        <v/>
      </c>
      <c r="Q690" s="37" t="str">
        <f t="shared" si="43"/>
        <v/>
      </c>
    </row>
    <row r="691" spans="1:17" x14ac:dyDescent="0.2">
      <c r="A691" s="41"/>
      <c r="B691" s="42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N691" s="38" t="str">
        <f t="shared" si="40"/>
        <v/>
      </c>
      <c r="O691" s="38" t="str">
        <f t="shared" si="41"/>
        <v/>
      </c>
      <c r="P691" s="37" t="str">
        <f t="shared" si="42"/>
        <v/>
      </c>
      <c r="Q691" s="37" t="str">
        <f t="shared" si="43"/>
        <v/>
      </c>
    </row>
    <row r="692" spans="1:17" x14ac:dyDescent="0.2">
      <c r="A692" s="41"/>
      <c r="B692" s="42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N692" s="38" t="str">
        <f t="shared" si="40"/>
        <v/>
      </c>
      <c r="O692" s="38" t="str">
        <f t="shared" si="41"/>
        <v/>
      </c>
      <c r="P692" s="37" t="str">
        <f t="shared" si="42"/>
        <v/>
      </c>
      <c r="Q692" s="37" t="str">
        <f t="shared" si="43"/>
        <v/>
      </c>
    </row>
    <row r="693" spans="1:17" x14ac:dyDescent="0.2">
      <c r="A693" s="41"/>
      <c r="B693" s="42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N693" s="38" t="str">
        <f t="shared" si="40"/>
        <v/>
      </c>
      <c r="O693" s="38" t="str">
        <f t="shared" si="41"/>
        <v/>
      </c>
      <c r="P693" s="37" t="str">
        <f t="shared" si="42"/>
        <v/>
      </c>
      <c r="Q693" s="37" t="str">
        <f t="shared" si="43"/>
        <v/>
      </c>
    </row>
    <row r="694" spans="1:17" x14ac:dyDescent="0.2">
      <c r="A694" s="41"/>
      <c r="B694" s="42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N694" s="38" t="str">
        <f t="shared" si="40"/>
        <v/>
      </c>
      <c r="O694" s="38" t="str">
        <f t="shared" si="41"/>
        <v/>
      </c>
      <c r="P694" s="37" t="str">
        <f t="shared" si="42"/>
        <v/>
      </c>
      <c r="Q694" s="37" t="str">
        <f t="shared" si="43"/>
        <v/>
      </c>
    </row>
    <row r="695" spans="1:17" x14ac:dyDescent="0.2">
      <c r="A695" s="41"/>
      <c r="B695" s="42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N695" s="38" t="str">
        <f t="shared" si="40"/>
        <v/>
      </c>
      <c r="O695" s="38" t="str">
        <f t="shared" si="41"/>
        <v/>
      </c>
      <c r="P695" s="37" t="str">
        <f t="shared" si="42"/>
        <v/>
      </c>
      <c r="Q695" s="37" t="str">
        <f t="shared" si="43"/>
        <v/>
      </c>
    </row>
    <row r="696" spans="1:17" x14ac:dyDescent="0.2">
      <c r="A696" s="41"/>
      <c r="B696" s="42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N696" s="38" t="str">
        <f t="shared" si="40"/>
        <v/>
      </c>
      <c r="O696" s="38" t="str">
        <f t="shared" si="41"/>
        <v/>
      </c>
      <c r="P696" s="37" t="str">
        <f t="shared" si="42"/>
        <v/>
      </c>
      <c r="Q696" s="37" t="str">
        <f t="shared" si="43"/>
        <v/>
      </c>
    </row>
    <row r="697" spans="1:17" x14ac:dyDescent="0.2">
      <c r="A697" s="41"/>
      <c r="B697" s="42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N697" s="38" t="str">
        <f t="shared" si="40"/>
        <v/>
      </c>
      <c r="O697" s="38" t="str">
        <f t="shared" si="41"/>
        <v/>
      </c>
      <c r="P697" s="37" t="str">
        <f t="shared" si="42"/>
        <v/>
      </c>
      <c r="Q697" s="37" t="str">
        <f t="shared" si="43"/>
        <v/>
      </c>
    </row>
    <row r="698" spans="1:17" x14ac:dyDescent="0.2">
      <c r="A698" s="41"/>
      <c r="B698" s="42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N698" s="38" t="str">
        <f t="shared" si="40"/>
        <v/>
      </c>
      <c r="O698" s="38" t="str">
        <f t="shared" si="41"/>
        <v/>
      </c>
      <c r="P698" s="37" t="str">
        <f t="shared" si="42"/>
        <v/>
      </c>
      <c r="Q698" s="37" t="str">
        <f t="shared" si="43"/>
        <v/>
      </c>
    </row>
    <row r="699" spans="1:17" x14ac:dyDescent="0.2">
      <c r="A699" s="41"/>
      <c r="B699" s="42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N699" s="38" t="str">
        <f t="shared" si="40"/>
        <v/>
      </c>
      <c r="O699" s="38" t="str">
        <f t="shared" si="41"/>
        <v/>
      </c>
      <c r="P699" s="37" t="str">
        <f t="shared" si="42"/>
        <v/>
      </c>
      <c r="Q699" s="37" t="str">
        <f t="shared" si="43"/>
        <v/>
      </c>
    </row>
    <row r="700" spans="1:17" x14ac:dyDescent="0.2">
      <c r="A700" s="41"/>
      <c r="B700" s="42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N700" s="38" t="str">
        <f t="shared" si="40"/>
        <v/>
      </c>
      <c r="O700" s="38" t="str">
        <f t="shared" si="41"/>
        <v/>
      </c>
      <c r="P700" s="37" t="str">
        <f t="shared" si="42"/>
        <v/>
      </c>
      <c r="Q700" s="37" t="str">
        <f t="shared" si="43"/>
        <v/>
      </c>
    </row>
    <row r="701" spans="1:17" x14ac:dyDescent="0.2">
      <c r="A701" s="41"/>
      <c r="B701" s="42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N701" s="38" t="str">
        <f t="shared" si="40"/>
        <v/>
      </c>
      <c r="O701" s="38" t="str">
        <f t="shared" si="41"/>
        <v/>
      </c>
      <c r="P701" s="37" t="str">
        <f t="shared" si="42"/>
        <v/>
      </c>
      <c r="Q701" s="37" t="str">
        <f t="shared" si="43"/>
        <v/>
      </c>
    </row>
    <row r="702" spans="1:17" x14ac:dyDescent="0.2">
      <c r="A702" s="41"/>
      <c r="B702" s="42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N702" s="38" t="str">
        <f t="shared" si="40"/>
        <v/>
      </c>
      <c r="O702" s="38" t="str">
        <f t="shared" si="41"/>
        <v/>
      </c>
      <c r="P702" s="37" t="str">
        <f t="shared" si="42"/>
        <v/>
      </c>
      <c r="Q702" s="37" t="str">
        <f t="shared" si="43"/>
        <v/>
      </c>
    </row>
    <row r="703" spans="1:17" x14ac:dyDescent="0.2">
      <c r="A703" s="41"/>
      <c r="B703" s="42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N703" s="38" t="str">
        <f t="shared" si="40"/>
        <v/>
      </c>
      <c r="O703" s="38" t="str">
        <f t="shared" si="41"/>
        <v/>
      </c>
      <c r="P703" s="37" t="str">
        <f t="shared" si="42"/>
        <v/>
      </c>
      <c r="Q703" s="37" t="str">
        <f t="shared" si="43"/>
        <v/>
      </c>
    </row>
    <row r="704" spans="1:17" x14ac:dyDescent="0.2">
      <c r="A704" s="41"/>
      <c r="B704" s="42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N704" s="38" t="str">
        <f t="shared" si="40"/>
        <v/>
      </c>
      <c r="O704" s="38" t="str">
        <f t="shared" si="41"/>
        <v/>
      </c>
      <c r="P704" s="37" t="str">
        <f t="shared" si="42"/>
        <v/>
      </c>
      <c r="Q704" s="37" t="str">
        <f t="shared" si="43"/>
        <v/>
      </c>
    </row>
    <row r="705" spans="1:17" x14ac:dyDescent="0.2">
      <c r="A705" s="41"/>
      <c r="B705" s="42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N705" s="38" t="str">
        <f t="shared" si="40"/>
        <v/>
      </c>
      <c r="O705" s="38" t="str">
        <f t="shared" si="41"/>
        <v/>
      </c>
      <c r="P705" s="37" t="str">
        <f t="shared" si="42"/>
        <v/>
      </c>
      <c r="Q705" s="37" t="str">
        <f t="shared" si="43"/>
        <v/>
      </c>
    </row>
    <row r="706" spans="1:17" x14ac:dyDescent="0.2">
      <c r="A706" s="41"/>
      <c r="B706" s="42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N706" s="38" t="str">
        <f t="shared" si="40"/>
        <v/>
      </c>
      <c r="O706" s="38" t="str">
        <f t="shared" si="41"/>
        <v/>
      </c>
      <c r="P706" s="37" t="str">
        <f t="shared" si="42"/>
        <v/>
      </c>
      <c r="Q706" s="37" t="str">
        <f t="shared" si="43"/>
        <v/>
      </c>
    </row>
    <row r="707" spans="1:17" x14ac:dyDescent="0.2">
      <c r="A707" s="41"/>
      <c r="B707" s="42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N707" s="38" t="str">
        <f t="shared" si="40"/>
        <v/>
      </c>
      <c r="O707" s="38" t="str">
        <f t="shared" si="41"/>
        <v/>
      </c>
      <c r="P707" s="37" t="str">
        <f t="shared" si="42"/>
        <v/>
      </c>
      <c r="Q707" s="37" t="str">
        <f t="shared" si="43"/>
        <v/>
      </c>
    </row>
    <row r="708" spans="1:17" x14ac:dyDescent="0.2">
      <c r="A708" s="41"/>
      <c r="B708" s="42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N708" s="38" t="str">
        <f t="shared" si="40"/>
        <v/>
      </c>
      <c r="O708" s="38" t="str">
        <f t="shared" si="41"/>
        <v/>
      </c>
      <c r="P708" s="37" t="str">
        <f t="shared" si="42"/>
        <v/>
      </c>
      <c r="Q708" s="37" t="str">
        <f t="shared" si="43"/>
        <v/>
      </c>
    </row>
    <row r="709" spans="1:17" x14ac:dyDescent="0.2">
      <c r="A709" s="41"/>
      <c r="B709" s="42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N709" s="38" t="str">
        <f t="shared" si="40"/>
        <v/>
      </c>
      <c r="O709" s="38" t="str">
        <f t="shared" si="41"/>
        <v/>
      </c>
      <c r="P709" s="37" t="str">
        <f t="shared" si="42"/>
        <v/>
      </c>
      <c r="Q709" s="37" t="str">
        <f t="shared" si="43"/>
        <v/>
      </c>
    </row>
    <row r="710" spans="1:17" x14ac:dyDescent="0.2">
      <c r="A710" s="41"/>
      <c r="B710" s="42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N710" s="38" t="str">
        <f t="shared" si="40"/>
        <v/>
      </c>
      <c r="O710" s="38" t="str">
        <f t="shared" si="41"/>
        <v/>
      </c>
      <c r="P710" s="37" t="str">
        <f t="shared" si="42"/>
        <v/>
      </c>
      <c r="Q710" s="37" t="str">
        <f t="shared" si="43"/>
        <v/>
      </c>
    </row>
    <row r="711" spans="1:17" x14ac:dyDescent="0.2">
      <c r="A711" s="41"/>
      <c r="B711" s="42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N711" s="38" t="str">
        <f t="shared" si="40"/>
        <v/>
      </c>
      <c r="O711" s="38" t="str">
        <f t="shared" si="41"/>
        <v/>
      </c>
      <c r="P711" s="37" t="str">
        <f t="shared" si="42"/>
        <v/>
      </c>
      <c r="Q711" s="37" t="str">
        <f t="shared" si="43"/>
        <v/>
      </c>
    </row>
    <row r="712" spans="1:17" x14ac:dyDescent="0.2">
      <c r="A712" s="41"/>
      <c r="B712" s="42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N712" s="38" t="str">
        <f t="shared" si="40"/>
        <v/>
      </c>
      <c r="O712" s="38" t="str">
        <f t="shared" si="41"/>
        <v/>
      </c>
      <c r="P712" s="37" t="str">
        <f t="shared" si="42"/>
        <v/>
      </c>
      <c r="Q712" s="37" t="str">
        <f t="shared" si="43"/>
        <v/>
      </c>
    </row>
    <row r="713" spans="1:17" x14ac:dyDescent="0.2">
      <c r="A713" s="41"/>
      <c r="B713" s="42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N713" s="38" t="str">
        <f t="shared" si="40"/>
        <v/>
      </c>
      <c r="O713" s="38" t="str">
        <f t="shared" si="41"/>
        <v/>
      </c>
      <c r="P713" s="37" t="str">
        <f t="shared" si="42"/>
        <v/>
      </c>
      <c r="Q713" s="37" t="str">
        <f t="shared" si="43"/>
        <v/>
      </c>
    </row>
    <row r="714" spans="1:17" x14ac:dyDescent="0.2">
      <c r="A714" s="41"/>
      <c r="B714" s="42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N714" s="38" t="str">
        <f t="shared" si="40"/>
        <v/>
      </c>
      <c r="O714" s="38" t="str">
        <f t="shared" si="41"/>
        <v/>
      </c>
      <c r="P714" s="37" t="str">
        <f t="shared" si="42"/>
        <v/>
      </c>
      <c r="Q714" s="37" t="str">
        <f t="shared" si="43"/>
        <v/>
      </c>
    </row>
    <row r="715" spans="1:17" x14ac:dyDescent="0.2">
      <c r="A715" s="41"/>
      <c r="B715" s="42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N715" s="38" t="str">
        <f t="shared" si="40"/>
        <v/>
      </c>
      <c r="O715" s="38" t="str">
        <f t="shared" si="41"/>
        <v/>
      </c>
      <c r="P715" s="37" t="str">
        <f t="shared" si="42"/>
        <v/>
      </c>
      <c r="Q715" s="37" t="str">
        <f t="shared" si="43"/>
        <v/>
      </c>
    </row>
    <row r="716" spans="1:17" x14ac:dyDescent="0.2">
      <c r="A716" s="41"/>
      <c r="B716" s="42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N716" s="38" t="str">
        <f t="shared" si="40"/>
        <v/>
      </c>
      <c r="O716" s="38" t="str">
        <f t="shared" si="41"/>
        <v/>
      </c>
      <c r="P716" s="37" t="str">
        <f t="shared" si="42"/>
        <v/>
      </c>
      <c r="Q716" s="37" t="str">
        <f t="shared" si="43"/>
        <v/>
      </c>
    </row>
    <row r="717" spans="1:17" x14ac:dyDescent="0.2">
      <c r="A717" s="41"/>
      <c r="B717" s="42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N717" s="38" t="str">
        <f t="shared" si="40"/>
        <v/>
      </c>
      <c r="O717" s="38" t="str">
        <f t="shared" si="41"/>
        <v/>
      </c>
      <c r="P717" s="37" t="str">
        <f t="shared" si="42"/>
        <v/>
      </c>
      <c r="Q717" s="37" t="str">
        <f t="shared" si="43"/>
        <v/>
      </c>
    </row>
    <row r="718" spans="1:17" x14ac:dyDescent="0.2">
      <c r="A718" s="41"/>
      <c r="B718" s="42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N718" s="38" t="str">
        <f t="shared" si="40"/>
        <v/>
      </c>
      <c r="O718" s="38" t="str">
        <f t="shared" si="41"/>
        <v/>
      </c>
      <c r="P718" s="37" t="str">
        <f t="shared" si="42"/>
        <v/>
      </c>
      <c r="Q718" s="37" t="str">
        <f t="shared" si="43"/>
        <v/>
      </c>
    </row>
    <row r="719" spans="1:17" x14ac:dyDescent="0.2">
      <c r="A719" s="41"/>
      <c r="B719" s="42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N719" s="38" t="str">
        <f t="shared" si="40"/>
        <v/>
      </c>
      <c r="O719" s="38" t="str">
        <f t="shared" si="41"/>
        <v/>
      </c>
      <c r="P719" s="37" t="str">
        <f t="shared" si="42"/>
        <v/>
      </c>
      <c r="Q719" s="37" t="str">
        <f t="shared" si="43"/>
        <v/>
      </c>
    </row>
    <row r="720" spans="1:17" x14ac:dyDescent="0.2">
      <c r="A720" s="41"/>
      <c r="B720" s="42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N720" s="38" t="str">
        <f t="shared" si="40"/>
        <v/>
      </c>
      <c r="O720" s="38" t="str">
        <f t="shared" si="41"/>
        <v/>
      </c>
      <c r="P720" s="37" t="str">
        <f t="shared" si="42"/>
        <v/>
      </c>
      <c r="Q720" s="37" t="str">
        <f t="shared" si="43"/>
        <v/>
      </c>
    </row>
    <row r="721" spans="1:17" x14ac:dyDescent="0.2">
      <c r="A721" s="41"/>
      <c r="B721" s="42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N721" s="38" t="str">
        <f t="shared" si="40"/>
        <v/>
      </c>
      <c r="O721" s="38" t="str">
        <f t="shared" si="41"/>
        <v/>
      </c>
      <c r="P721" s="37" t="str">
        <f t="shared" si="42"/>
        <v/>
      </c>
      <c r="Q721" s="37" t="str">
        <f t="shared" si="43"/>
        <v/>
      </c>
    </row>
    <row r="722" spans="1:17" x14ac:dyDescent="0.2">
      <c r="A722" s="41"/>
      <c r="B722" s="42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N722" s="38" t="str">
        <f t="shared" si="40"/>
        <v/>
      </c>
      <c r="O722" s="38" t="str">
        <f t="shared" si="41"/>
        <v/>
      </c>
      <c r="P722" s="37" t="str">
        <f t="shared" si="42"/>
        <v/>
      </c>
      <c r="Q722" s="37" t="str">
        <f t="shared" si="43"/>
        <v/>
      </c>
    </row>
    <row r="723" spans="1:17" x14ac:dyDescent="0.2">
      <c r="A723" s="41"/>
      <c r="B723" s="42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N723" s="38" t="str">
        <f t="shared" si="40"/>
        <v/>
      </c>
      <c r="O723" s="38" t="str">
        <f t="shared" si="41"/>
        <v/>
      </c>
      <c r="P723" s="37" t="str">
        <f t="shared" si="42"/>
        <v/>
      </c>
      <c r="Q723" s="37" t="str">
        <f t="shared" si="43"/>
        <v/>
      </c>
    </row>
    <row r="724" spans="1:17" x14ac:dyDescent="0.2">
      <c r="A724" s="41"/>
      <c r="B724" s="42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N724" s="38" t="str">
        <f t="shared" si="40"/>
        <v/>
      </c>
      <c r="O724" s="38" t="str">
        <f t="shared" si="41"/>
        <v/>
      </c>
      <c r="P724" s="37" t="str">
        <f t="shared" si="42"/>
        <v/>
      </c>
      <c r="Q724" s="37" t="str">
        <f t="shared" si="43"/>
        <v/>
      </c>
    </row>
    <row r="725" spans="1:17" x14ac:dyDescent="0.2">
      <c r="A725" s="41"/>
      <c r="B725" s="42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N725" s="38" t="str">
        <f t="shared" si="40"/>
        <v/>
      </c>
      <c r="O725" s="38" t="str">
        <f t="shared" si="41"/>
        <v/>
      </c>
      <c r="P725" s="37" t="str">
        <f t="shared" si="42"/>
        <v/>
      </c>
      <c r="Q725" s="37" t="str">
        <f t="shared" si="43"/>
        <v/>
      </c>
    </row>
    <row r="726" spans="1:17" x14ac:dyDescent="0.2">
      <c r="A726" s="41"/>
      <c r="B726" s="42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N726" s="38" t="str">
        <f t="shared" si="40"/>
        <v/>
      </c>
      <c r="O726" s="38" t="str">
        <f t="shared" si="41"/>
        <v/>
      </c>
      <c r="P726" s="37" t="str">
        <f t="shared" si="42"/>
        <v/>
      </c>
      <c r="Q726" s="37" t="str">
        <f t="shared" si="43"/>
        <v/>
      </c>
    </row>
    <row r="727" spans="1:17" x14ac:dyDescent="0.2">
      <c r="A727" s="41"/>
      <c r="B727" s="42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N727" s="38" t="str">
        <f t="shared" si="40"/>
        <v/>
      </c>
      <c r="O727" s="38" t="str">
        <f t="shared" si="41"/>
        <v/>
      </c>
      <c r="P727" s="37" t="str">
        <f t="shared" si="42"/>
        <v/>
      </c>
      <c r="Q727" s="37" t="str">
        <f t="shared" si="43"/>
        <v/>
      </c>
    </row>
    <row r="728" spans="1:17" x14ac:dyDescent="0.2">
      <c r="A728" s="64"/>
      <c r="B728" s="42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N728" s="38" t="str">
        <f t="shared" si="40"/>
        <v/>
      </c>
      <c r="O728" s="38" t="str">
        <f t="shared" si="41"/>
        <v/>
      </c>
      <c r="P728" s="37" t="str">
        <f t="shared" si="42"/>
        <v/>
      </c>
      <c r="Q728" s="37" t="str">
        <f t="shared" si="43"/>
        <v/>
      </c>
    </row>
    <row r="729" spans="1:17" x14ac:dyDescent="0.2">
      <c r="A729" s="41"/>
      <c r="B729" s="42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N729" s="38" t="str">
        <f t="shared" si="40"/>
        <v/>
      </c>
      <c r="O729" s="38" t="str">
        <f t="shared" si="41"/>
        <v/>
      </c>
      <c r="P729" s="37" t="str">
        <f t="shared" si="42"/>
        <v/>
      </c>
      <c r="Q729" s="37" t="str">
        <f t="shared" si="43"/>
        <v/>
      </c>
    </row>
    <row r="730" spans="1:17" x14ac:dyDescent="0.2">
      <c r="A730" s="41"/>
      <c r="B730" s="42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N730" s="38" t="str">
        <f t="shared" si="40"/>
        <v/>
      </c>
      <c r="O730" s="38" t="str">
        <f t="shared" si="41"/>
        <v/>
      </c>
      <c r="P730" s="37" t="str">
        <f t="shared" si="42"/>
        <v/>
      </c>
      <c r="Q730" s="37" t="str">
        <f t="shared" si="43"/>
        <v/>
      </c>
    </row>
    <row r="731" spans="1:17" x14ac:dyDescent="0.2">
      <c r="A731" s="41"/>
      <c r="B731" s="42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N731" s="38" t="str">
        <f t="shared" si="40"/>
        <v/>
      </c>
      <c r="O731" s="38" t="str">
        <f t="shared" si="41"/>
        <v/>
      </c>
      <c r="P731" s="37" t="str">
        <f t="shared" si="42"/>
        <v/>
      </c>
      <c r="Q731" s="37" t="str">
        <f t="shared" si="43"/>
        <v/>
      </c>
    </row>
    <row r="732" spans="1:17" x14ac:dyDescent="0.2">
      <c r="A732" s="41"/>
      <c r="B732" s="42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N732" s="38" t="str">
        <f t="shared" si="40"/>
        <v/>
      </c>
      <c r="O732" s="38" t="str">
        <f t="shared" si="41"/>
        <v/>
      </c>
      <c r="P732" s="37" t="str">
        <f t="shared" si="42"/>
        <v/>
      </c>
      <c r="Q732" s="37" t="str">
        <f t="shared" si="43"/>
        <v/>
      </c>
    </row>
    <row r="733" spans="1:17" x14ac:dyDescent="0.2">
      <c r="A733" s="41"/>
      <c r="B733" s="42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N733" s="38" t="str">
        <f t="shared" ref="N733:N796" si="44">IF(LEFT($L733,21)="Priority changed from",MID($L733,23,1),"")</f>
        <v/>
      </c>
      <c r="O733" s="38" t="str">
        <f t="shared" ref="O733:O796" si="45">IF(LEFT($L733,21)="Priority changed from",MID($L733,28,1),"")</f>
        <v/>
      </c>
      <c r="P733" s="37" t="str">
        <f t="shared" ref="P733:P796" si="46">IFERROR(IF(E733=1,"Yes",IF(OR(VALUE(N733)=1,VALUE(O733)=1),"Yes","No")),"")</f>
        <v/>
      </c>
      <c r="Q733" s="37" t="str">
        <f t="shared" ref="Q733:Q796" si="47">IFERROR(IF(P733="Yes","No",IF(E733=2,"Yes",IF(OR(VALUE(N733)=2,VALUE(O733)=2),"Yes","No"))),"")</f>
        <v/>
      </c>
    </row>
    <row r="734" spans="1:17" x14ac:dyDescent="0.2">
      <c r="A734" s="41"/>
      <c r="B734" s="42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N734" s="38" t="str">
        <f t="shared" si="44"/>
        <v/>
      </c>
      <c r="O734" s="38" t="str">
        <f t="shared" si="45"/>
        <v/>
      </c>
      <c r="P734" s="37" t="str">
        <f t="shared" si="46"/>
        <v/>
      </c>
      <c r="Q734" s="37" t="str">
        <f t="shared" si="47"/>
        <v/>
      </c>
    </row>
    <row r="735" spans="1:17" x14ac:dyDescent="0.2">
      <c r="A735" s="41"/>
      <c r="B735" s="42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N735" s="38" t="str">
        <f t="shared" si="44"/>
        <v/>
      </c>
      <c r="O735" s="38" t="str">
        <f t="shared" si="45"/>
        <v/>
      </c>
      <c r="P735" s="37" t="str">
        <f t="shared" si="46"/>
        <v/>
      </c>
      <c r="Q735" s="37" t="str">
        <f t="shared" si="47"/>
        <v/>
      </c>
    </row>
    <row r="736" spans="1:17" x14ac:dyDescent="0.2">
      <c r="A736" s="41"/>
      <c r="B736" s="42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N736" s="38" t="str">
        <f t="shared" si="44"/>
        <v/>
      </c>
      <c r="O736" s="38" t="str">
        <f t="shared" si="45"/>
        <v/>
      </c>
      <c r="P736" s="37" t="str">
        <f t="shared" si="46"/>
        <v/>
      </c>
      <c r="Q736" s="37" t="str">
        <f t="shared" si="47"/>
        <v/>
      </c>
    </row>
    <row r="737" spans="1:17" x14ac:dyDescent="0.2">
      <c r="A737" s="41"/>
      <c r="B737" s="42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N737" s="38" t="str">
        <f t="shared" si="44"/>
        <v/>
      </c>
      <c r="O737" s="38" t="str">
        <f t="shared" si="45"/>
        <v/>
      </c>
      <c r="P737" s="37" t="str">
        <f t="shared" si="46"/>
        <v/>
      </c>
      <c r="Q737" s="37" t="str">
        <f t="shared" si="47"/>
        <v/>
      </c>
    </row>
    <row r="738" spans="1:17" x14ac:dyDescent="0.2">
      <c r="A738" s="41"/>
      <c r="B738" s="42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N738" s="38" t="str">
        <f t="shared" si="44"/>
        <v/>
      </c>
      <c r="O738" s="38" t="str">
        <f t="shared" si="45"/>
        <v/>
      </c>
      <c r="P738" s="37" t="str">
        <f t="shared" si="46"/>
        <v/>
      </c>
      <c r="Q738" s="37" t="str">
        <f t="shared" si="47"/>
        <v/>
      </c>
    </row>
    <row r="739" spans="1:17" x14ac:dyDescent="0.2">
      <c r="A739" s="41"/>
      <c r="B739" s="42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N739" s="38" t="str">
        <f t="shared" si="44"/>
        <v/>
      </c>
      <c r="O739" s="38" t="str">
        <f t="shared" si="45"/>
        <v/>
      </c>
      <c r="P739" s="37" t="str">
        <f t="shared" si="46"/>
        <v/>
      </c>
      <c r="Q739" s="37" t="str">
        <f t="shared" si="47"/>
        <v/>
      </c>
    </row>
    <row r="740" spans="1:17" x14ac:dyDescent="0.2">
      <c r="A740" s="41"/>
      <c r="B740" s="42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N740" s="38" t="str">
        <f t="shared" si="44"/>
        <v/>
      </c>
      <c r="O740" s="38" t="str">
        <f t="shared" si="45"/>
        <v/>
      </c>
      <c r="P740" s="37" t="str">
        <f t="shared" si="46"/>
        <v/>
      </c>
      <c r="Q740" s="37" t="str">
        <f t="shared" si="47"/>
        <v/>
      </c>
    </row>
    <row r="741" spans="1:17" x14ac:dyDescent="0.2">
      <c r="A741" s="41"/>
      <c r="B741" s="42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N741" s="38" t="str">
        <f t="shared" si="44"/>
        <v/>
      </c>
      <c r="O741" s="38" t="str">
        <f t="shared" si="45"/>
        <v/>
      </c>
      <c r="P741" s="37" t="str">
        <f t="shared" si="46"/>
        <v/>
      </c>
      <c r="Q741" s="37" t="str">
        <f t="shared" si="47"/>
        <v/>
      </c>
    </row>
    <row r="742" spans="1:17" x14ac:dyDescent="0.2">
      <c r="A742" s="41"/>
      <c r="B742" s="42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N742" s="38" t="str">
        <f t="shared" si="44"/>
        <v/>
      </c>
      <c r="O742" s="38" t="str">
        <f t="shared" si="45"/>
        <v/>
      </c>
      <c r="P742" s="37" t="str">
        <f t="shared" si="46"/>
        <v/>
      </c>
      <c r="Q742" s="37" t="str">
        <f t="shared" si="47"/>
        <v/>
      </c>
    </row>
    <row r="743" spans="1:17" x14ac:dyDescent="0.2">
      <c r="A743" s="41"/>
      <c r="B743" s="42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N743" s="38" t="str">
        <f t="shared" si="44"/>
        <v/>
      </c>
      <c r="O743" s="38" t="str">
        <f t="shared" si="45"/>
        <v/>
      </c>
      <c r="P743" s="37" t="str">
        <f t="shared" si="46"/>
        <v/>
      </c>
      <c r="Q743" s="37" t="str">
        <f t="shared" si="47"/>
        <v/>
      </c>
    </row>
    <row r="744" spans="1:17" x14ac:dyDescent="0.2">
      <c r="A744" s="41"/>
      <c r="B744" s="42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N744" s="38" t="str">
        <f t="shared" si="44"/>
        <v/>
      </c>
      <c r="O744" s="38" t="str">
        <f t="shared" si="45"/>
        <v/>
      </c>
      <c r="P744" s="37" t="str">
        <f t="shared" si="46"/>
        <v/>
      </c>
      <c r="Q744" s="37" t="str">
        <f t="shared" si="47"/>
        <v/>
      </c>
    </row>
    <row r="745" spans="1:17" x14ac:dyDescent="0.2">
      <c r="A745" s="41"/>
      <c r="B745" s="42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N745" s="38" t="str">
        <f t="shared" si="44"/>
        <v/>
      </c>
      <c r="O745" s="38" t="str">
        <f t="shared" si="45"/>
        <v/>
      </c>
      <c r="P745" s="37" t="str">
        <f t="shared" si="46"/>
        <v/>
      </c>
      <c r="Q745" s="37" t="str">
        <f t="shared" si="47"/>
        <v/>
      </c>
    </row>
    <row r="746" spans="1:17" x14ac:dyDescent="0.2">
      <c r="A746" s="41"/>
      <c r="B746" s="42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N746" s="38" t="str">
        <f t="shared" si="44"/>
        <v/>
      </c>
      <c r="O746" s="38" t="str">
        <f t="shared" si="45"/>
        <v/>
      </c>
      <c r="P746" s="37" t="str">
        <f t="shared" si="46"/>
        <v/>
      </c>
      <c r="Q746" s="37" t="str">
        <f t="shared" si="47"/>
        <v/>
      </c>
    </row>
    <row r="747" spans="1:17" x14ac:dyDescent="0.2">
      <c r="A747" s="41"/>
      <c r="B747" s="42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N747" s="38" t="str">
        <f t="shared" si="44"/>
        <v/>
      </c>
      <c r="O747" s="38" t="str">
        <f t="shared" si="45"/>
        <v/>
      </c>
      <c r="P747" s="37" t="str">
        <f t="shared" si="46"/>
        <v/>
      </c>
      <c r="Q747" s="37" t="str">
        <f t="shared" si="47"/>
        <v/>
      </c>
    </row>
    <row r="748" spans="1:17" x14ac:dyDescent="0.2">
      <c r="A748" s="41"/>
      <c r="B748" s="42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N748" s="38" t="str">
        <f t="shared" si="44"/>
        <v/>
      </c>
      <c r="O748" s="38" t="str">
        <f t="shared" si="45"/>
        <v/>
      </c>
      <c r="P748" s="37" t="str">
        <f t="shared" si="46"/>
        <v/>
      </c>
      <c r="Q748" s="37" t="str">
        <f t="shared" si="47"/>
        <v/>
      </c>
    </row>
    <row r="749" spans="1:17" x14ac:dyDescent="0.2">
      <c r="A749" s="41"/>
      <c r="B749" s="42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N749" s="38" t="str">
        <f t="shared" si="44"/>
        <v/>
      </c>
      <c r="O749" s="38" t="str">
        <f t="shared" si="45"/>
        <v/>
      </c>
      <c r="P749" s="37" t="str">
        <f t="shared" si="46"/>
        <v/>
      </c>
      <c r="Q749" s="37" t="str">
        <f t="shared" si="47"/>
        <v/>
      </c>
    </row>
    <row r="750" spans="1:17" x14ac:dyDescent="0.2">
      <c r="A750" s="41"/>
      <c r="B750" s="42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N750" s="38" t="str">
        <f t="shared" si="44"/>
        <v/>
      </c>
      <c r="O750" s="38" t="str">
        <f t="shared" si="45"/>
        <v/>
      </c>
      <c r="P750" s="37" t="str">
        <f t="shared" si="46"/>
        <v/>
      </c>
      <c r="Q750" s="37" t="str">
        <f t="shared" si="47"/>
        <v/>
      </c>
    </row>
    <row r="751" spans="1:17" x14ac:dyDescent="0.2">
      <c r="A751" s="41"/>
      <c r="B751" s="42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N751" s="38" t="str">
        <f t="shared" si="44"/>
        <v/>
      </c>
      <c r="O751" s="38" t="str">
        <f t="shared" si="45"/>
        <v/>
      </c>
      <c r="P751" s="37" t="str">
        <f t="shared" si="46"/>
        <v/>
      </c>
      <c r="Q751" s="37" t="str">
        <f t="shared" si="47"/>
        <v/>
      </c>
    </row>
    <row r="752" spans="1:17" x14ac:dyDescent="0.2">
      <c r="A752" s="41"/>
      <c r="B752" s="42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N752" s="38" t="str">
        <f t="shared" si="44"/>
        <v/>
      </c>
      <c r="O752" s="38" t="str">
        <f t="shared" si="45"/>
        <v/>
      </c>
      <c r="P752" s="37" t="str">
        <f t="shared" si="46"/>
        <v/>
      </c>
      <c r="Q752" s="37" t="str">
        <f t="shared" si="47"/>
        <v/>
      </c>
    </row>
    <row r="753" spans="1:17" x14ac:dyDescent="0.2">
      <c r="A753" s="41"/>
      <c r="B753" s="42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N753" s="38" t="str">
        <f t="shared" si="44"/>
        <v/>
      </c>
      <c r="O753" s="38" t="str">
        <f t="shared" si="45"/>
        <v/>
      </c>
      <c r="P753" s="37" t="str">
        <f t="shared" si="46"/>
        <v/>
      </c>
      <c r="Q753" s="37" t="str">
        <f t="shared" si="47"/>
        <v/>
      </c>
    </row>
    <row r="754" spans="1:17" x14ac:dyDescent="0.2">
      <c r="A754" s="41"/>
      <c r="B754" s="42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N754" s="38" t="str">
        <f t="shared" si="44"/>
        <v/>
      </c>
      <c r="O754" s="38" t="str">
        <f t="shared" si="45"/>
        <v/>
      </c>
      <c r="P754" s="37" t="str">
        <f t="shared" si="46"/>
        <v/>
      </c>
      <c r="Q754" s="37" t="str">
        <f t="shared" si="47"/>
        <v/>
      </c>
    </row>
    <row r="755" spans="1:17" x14ac:dyDescent="0.2">
      <c r="A755" s="41"/>
      <c r="B755" s="42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N755" s="38" t="str">
        <f t="shared" si="44"/>
        <v/>
      </c>
      <c r="O755" s="38" t="str">
        <f t="shared" si="45"/>
        <v/>
      </c>
      <c r="P755" s="37" t="str">
        <f t="shared" si="46"/>
        <v/>
      </c>
      <c r="Q755" s="37" t="str">
        <f t="shared" si="47"/>
        <v/>
      </c>
    </row>
    <row r="756" spans="1:17" x14ac:dyDescent="0.2">
      <c r="A756" s="41"/>
      <c r="B756" s="42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N756" s="38" t="str">
        <f t="shared" si="44"/>
        <v/>
      </c>
      <c r="O756" s="38" t="str">
        <f t="shared" si="45"/>
        <v/>
      </c>
      <c r="P756" s="37" t="str">
        <f t="shared" si="46"/>
        <v/>
      </c>
      <c r="Q756" s="37" t="str">
        <f t="shared" si="47"/>
        <v/>
      </c>
    </row>
    <row r="757" spans="1:17" x14ac:dyDescent="0.2">
      <c r="A757" s="41"/>
      <c r="B757" s="42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N757" s="38" t="str">
        <f t="shared" si="44"/>
        <v/>
      </c>
      <c r="O757" s="38" t="str">
        <f t="shared" si="45"/>
        <v/>
      </c>
      <c r="P757" s="37" t="str">
        <f t="shared" si="46"/>
        <v/>
      </c>
      <c r="Q757" s="37" t="str">
        <f t="shared" si="47"/>
        <v/>
      </c>
    </row>
    <row r="758" spans="1:17" x14ac:dyDescent="0.2">
      <c r="A758" s="41"/>
      <c r="B758" s="42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N758" s="38" t="str">
        <f t="shared" si="44"/>
        <v/>
      </c>
      <c r="O758" s="38" t="str">
        <f t="shared" si="45"/>
        <v/>
      </c>
      <c r="P758" s="37" t="str">
        <f t="shared" si="46"/>
        <v/>
      </c>
      <c r="Q758" s="37" t="str">
        <f t="shared" si="47"/>
        <v/>
      </c>
    </row>
    <row r="759" spans="1:17" x14ac:dyDescent="0.2">
      <c r="A759" s="41"/>
      <c r="B759" s="42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N759" s="38" t="str">
        <f t="shared" si="44"/>
        <v/>
      </c>
      <c r="O759" s="38" t="str">
        <f t="shared" si="45"/>
        <v/>
      </c>
      <c r="P759" s="37" t="str">
        <f t="shared" si="46"/>
        <v/>
      </c>
      <c r="Q759" s="37" t="str">
        <f t="shared" si="47"/>
        <v/>
      </c>
    </row>
    <row r="760" spans="1:17" x14ac:dyDescent="0.2">
      <c r="A760" s="41"/>
      <c r="B760" s="42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N760" s="38" t="str">
        <f t="shared" si="44"/>
        <v/>
      </c>
      <c r="O760" s="38" t="str">
        <f t="shared" si="45"/>
        <v/>
      </c>
      <c r="P760" s="37" t="str">
        <f t="shared" si="46"/>
        <v/>
      </c>
      <c r="Q760" s="37" t="str">
        <f t="shared" si="47"/>
        <v/>
      </c>
    </row>
    <row r="761" spans="1:17" x14ac:dyDescent="0.2">
      <c r="A761" s="41"/>
      <c r="B761" s="42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N761" s="38" t="str">
        <f t="shared" si="44"/>
        <v/>
      </c>
      <c r="O761" s="38" t="str">
        <f t="shared" si="45"/>
        <v/>
      </c>
      <c r="P761" s="37" t="str">
        <f t="shared" si="46"/>
        <v/>
      </c>
      <c r="Q761" s="37" t="str">
        <f t="shared" si="47"/>
        <v/>
      </c>
    </row>
    <row r="762" spans="1:17" x14ac:dyDescent="0.2">
      <c r="A762" s="41"/>
      <c r="B762" s="42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N762" s="38" t="str">
        <f t="shared" si="44"/>
        <v/>
      </c>
      <c r="O762" s="38" t="str">
        <f t="shared" si="45"/>
        <v/>
      </c>
      <c r="P762" s="37" t="str">
        <f t="shared" si="46"/>
        <v/>
      </c>
      <c r="Q762" s="37" t="str">
        <f t="shared" si="47"/>
        <v/>
      </c>
    </row>
    <row r="763" spans="1:17" x14ac:dyDescent="0.2">
      <c r="A763" s="41"/>
      <c r="B763" s="42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N763" s="38" t="str">
        <f t="shared" si="44"/>
        <v/>
      </c>
      <c r="O763" s="38" t="str">
        <f t="shared" si="45"/>
        <v/>
      </c>
      <c r="P763" s="37" t="str">
        <f t="shared" si="46"/>
        <v/>
      </c>
      <c r="Q763" s="37" t="str">
        <f t="shared" si="47"/>
        <v/>
      </c>
    </row>
    <row r="764" spans="1:17" x14ac:dyDescent="0.2">
      <c r="A764" s="41"/>
      <c r="B764" s="42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N764" s="38" t="str">
        <f t="shared" si="44"/>
        <v/>
      </c>
      <c r="O764" s="38" t="str">
        <f t="shared" si="45"/>
        <v/>
      </c>
      <c r="P764" s="37" t="str">
        <f t="shared" si="46"/>
        <v/>
      </c>
      <c r="Q764" s="37" t="str">
        <f t="shared" si="47"/>
        <v/>
      </c>
    </row>
    <row r="765" spans="1:17" x14ac:dyDescent="0.2">
      <c r="A765" s="41"/>
      <c r="B765" s="42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N765" s="38" t="str">
        <f t="shared" si="44"/>
        <v/>
      </c>
      <c r="O765" s="38" t="str">
        <f t="shared" si="45"/>
        <v/>
      </c>
      <c r="P765" s="37" t="str">
        <f t="shared" si="46"/>
        <v/>
      </c>
      <c r="Q765" s="37" t="str">
        <f t="shared" si="47"/>
        <v/>
      </c>
    </row>
    <row r="766" spans="1:17" x14ac:dyDescent="0.2">
      <c r="A766" s="41"/>
      <c r="B766" s="42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N766" s="38" t="str">
        <f t="shared" si="44"/>
        <v/>
      </c>
      <c r="O766" s="38" t="str">
        <f t="shared" si="45"/>
        <v/>
      </c>
      <c r="P766" s="37" t="str">
        <f t="shared" si="46"/>
        <v/>
      </c>
      <c r="Q766" s="37" t="str">
        <f t="shared" si="47"/>
        <v/>
      </c>
    </row>
    <row r="767" spans="1:17" x14ac:dyDescent="0.2">
      <c r="A767" s="41"/>
      <c r="B767" s="42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N767" s="38" t="str">
        <f t="shared" si="44"/>
        <v/>
      </c>
      <c r="O767" s="38" t="str">
        <f t="shared" si="45"/>
        <v/>
      </c>
      <c r="P767" s="37" t="str">
        <f t="shared" si="46"/>
        <v/>
      </c>
      <c r="Q767" s="37" t="str">
        <f t="shared" si="47"/>
        <v/>
      </c>
    </row>
    <row r="768" spans="1:17" x14ac:dyDescent="0.2">
      <c r="A768" s="41"/>
      <c r="B768" s="42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N768" s="38" t="str">
        <f t="shared" si="44"/>
        <v/>
      </c>
      <c r="O768" s="38" t="str">
        <f t="shared" si="45"/>
        <v/>
      </c>
      <c r="P768" s="37" t="str">
        <f t="shared" si="46"/>
        <v/>
      </c>
      <c r="Q768" s="37" t="str">
        <f t="shared" si="47"/>
        <v/>
      </c>
    </row>
    <row r="769" spans="1:17" x14ac:dyDescent="0.2">
      <c r="A769" s="41"/>
      <c r="B769" s="42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N769" s="38" t="str">
        <f t="shared" si="44"/>
        <v/>
      </c>
      <c r="O769" s="38" t="str">
        <f t="shared" si="45"/>
        <v/>
      </c>
      <c r="P769" s="37" t="str">
        <f t="shared" si="46"/>
        <v/>
      </c>
      <c r="Q769" s="37" t="str">
        <f t="shared" si="47"/>
        <v/>
      </c>
    </row>
    <row r="770" spans="1:17" x14ac:dyDescent="0.2">
      <c r="A770" s="41"/>
      <c r="B770" s="42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N770" s="38" t="str">
        <f t="shared" si="44"/>
        <v/>
      </c>
      <c r="O770" s="38" t="str">
        <f t="shared" si="45"/>
        <v/>
      </c>
      <c r="P770" s="37" t="str">
        <f t="shared" si="46"/>
        <v/>
      </c>
      <c r="Q770" s="37" t="str">
        <f t="shared" si="47"/>
        <v/>
      </c>
    </row>
    <row r="771" spans="1:17" x14ac:dyDescent="0.2">
      <c r="A771" s="41"/>
      <c r="B771" s="42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N771" s="38" t="str">
        <f t="shared" si="44"/>
        <v/>
      </c>
      <c r="O771" s="38" t="str">
        <f t="shared" si="45"/>
        <v/>
      </c>
      <c r="P771" s="37" t="str">
        <f t="shared" si="46"/>
        <v/>
      </c>
      <c r="Q771" s="37" t="str">
        <f t="shared" si="47"/>
        <v/>
      </c>
    </row>
    <row r="772" spans="1:17" x14ac:dyDescent="0.2">
      <c r="A772" s="41"/>
      <c r="B772" s="42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N772" s="38" t="str">
        <f t="shared" si="44"/>
        <v/>
      </c>
      <c r="O772" s="38" t="str">
        <f t="shared" si="45"/>
        <v/>
      </c>
      <c r="P772" s="37" t="str">
        <f t="shared" si="46"/>
        <v/>
      </c>
      <c r="Q772" s="37" t="str">
        <f t="shared" si="47"/>
        <v/>
      </c>
    </row>
    <row r="773" spans="1:17" x14ac:dyDescent="0.2">
      <c r="A773" s="41"/>
      <c r="B773" s="42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N773" s="38" t="str">
        <f t="shared" si="44"/>
        <v/>
      </c>
      <c r="O773" s="38" t="str">
        <f t="shared" si="45"/>
        <v/>
      </c>
      <c r="P773" s="37" t="str">
        <f t="shared" si="46"/>
        <v/>
      </c>
      <c r="Q773" s="37" t="str">
        <f t="shared" si="47"/>
        <v/>
      </c>
    </row>
    <row r="774" spans="1:17" x14ac:dyDescent="0.2">
      <c r="A774" s="41"/>
      <c r="B774" s="42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N774" s="38" t="str">
        <f t="shared" si="44"/>
        <v/>
      </c>
      <c r="O774" s="38" t="str">
        <f t="shared" si="45"/>
        <v/>
      </c>
      <c r="P774" s="37" t="str">
        <f t="shared" si="46"/>
        <v/>
      </c>
      <c r="Q774" s="37" t="str">
        <f t="shared" si="47"/>
        <v/>
      </c>
    </row>
    <row r="775" spans="1:17" x14ac:dyDescent="0.2">
      <c r="A775" s="41"/>
      <c r="B775" s="42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N775" s="38" t="str">
        <f t="shared" si="44"/>
        <v/>
      </c>
      <c r="O775" s="38" t="str">
        <f t="shared" si="45"/>
        <v/>
      </c>
      <c r="P775" s="37" t="str">
        <f t="shared" si="46"/>
        <v/>
      </c>
      <c r="Q775" s="37" t="str">
        <f t="shared" si="47"/>
        <v/>
      </c>
    </row>
    <row r="776" spans="1:17" x14ac:dyDescent="0.2">
      <c r="A776" s="41"/>
      <c r="B776" s="42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N776" s="38" t="str">
        <f t="shared" si="44"/>
        <v/>
      </c>
      <c r="O776" s="38" t="str">
        <f t="shared" si="45"/>
        <v/>
      </c>
      <c r="P776" s="37" t="str">
        <f t="shared" si="46"/>
        <v/>
      </c>
      <c r="Q776" s="37" t="str">
        <f t="shared" si="47"/>
        <v/>
      </c>
    </row>
    <row r="777" spans="1:17" x14ac:dyDescent="0.2">
      <c r="A777" s="41"/>
      <c r="B777" s="42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N777" s="38" t="str">
        <f t="shared" si="44"/>
        <v/>
      </c>
      <c r="O777" s="38" t="str">
        <f t="shared" si="45"/>
        <v/>
      </c>
      <c r="P777" s="37" t="str">
        <f t="shared" si="46"/>
        <v/>
      </c>
      <c r="Q777" s="37" t="str">
        <f t="shared" si="47"/>
        <v/>
      </c>
    </row>
    <row r="778" spans="1:17" x14ac:dyDescent="0.2">
      <c r="A778" s="41"/>
      <c r="B778" s="42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N778" s="38" t="str">
        <f t="shared" si="44"/>
        <v/>
      </c>
      <c r="O778" s="38" t="str">
        <f t="shared" si="45"/>
        <v/>
      </c>
      <c r="P778" s="37" t="str">
        <f t="shared" si="46"/>
        <v/>
      </c>
      <c r="Q778" s="37" t="str">
        <f t="shared" si="47"/>
        <v/>
      </c>
    </row>
    <row r="779" spans="1:17" x14ac:dyDescent="0.2">
      <c r="A779" s="41"/>
      <c r="B779" s="42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N779" s="38" t="str">
        <f t="shared" si="44"/>
        <v/>
      </c>
      <c r="O779" s="38" t="str">
        <f t="shared" si="45"/>
        <v/>
      </c>
      <c r="P779" s="37" t="str">
        <f t="shared" si="46"/>
        <v/>
      </c>
      <c r="Q779" s="37" t="str">
        <f t="shared" si="47"/>
        <v/>
      </c>
    </row>
    <row r="780" spans="1:17" x14ac:dyDescent="0.2">
      <c r="A780" s="39"/>
      <c r="B780" s="40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N780" s="38" t="str">
        <f t="shared" si="44"/>
        <v/>
      </c>
      <c r="O780" s="38" t="str">
        <f t="shared" si="45"/>
        <v/>
      </c>
      <c r="P780" s="37" t="str">
        <f t="shared" si="46"/>
        <v/>
      </c>
      <c r="Q780" s="37" t="str">
        <f t="shared" si="47"/>
        <v/>
      </c>
    </row>
    <row r="781" spans="1:17" x14ac:dyDescent="0.2">
      <c r="A781" s="39"/>
      <c r="B781" s="40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N781" s="38" t="str">
        <f t="shared" si="44"/>
        <v/>
      </c>
      <c r="O781" s="38" t="str">
        <f t="shared" si="45"/>
        <v/>
      </c>
      <c r="P781" s="37" t="str">
        <f t="shared" si="46"/>
        <v/>
      </c>
      <c r="Q781" s="37" t="str">
        <f t="shared" si="47"/>
        <v/>
      </c>
    </row>
    <row r="782" spans="1:17" x14ac:dyDescent="0.2">
      <c r="A782" s="39"/>
      <c r="B782" s="40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N782" s="38" t="str">
        <f t="shared" si="44"/>
        <v/>
      </c>
      <c r="O782" s="38" t="str">
        <f t="shared" si="45"/>
        <v/>
      </c>
      <c r="P782" s="37" t="str">
        <f t="shared" si="46"/>
        <v/>
      </c>
      <c r="Q782" s="37" t="str">
        <f t="shared" si="47"/>
        <v/>
      </c>
    </row>
    <row r="783" spans="1:17" x14ac:dyDescent="0.2">
      <c r="A783" s="39"/>
      <c r="B783" s="40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N783" s="38" t="str">
        <f t="shared" si="44"/>
        <v/>
      </c>
      <c r="O783" s="38" t="str">
        <f t="shared" si="45"/>
        <v/>
      </c>
      <c r="P783" s="37" t="str">
        <f t="shared" si="46"/>
        <v/>
      </c>
      <c r="Q783" s="37" t="str">
        <f t="shared" si="47"/>
        <v/>
      </c>
    </row>
    <row r="784" spans="1:17" x14ac:dyDescent="0.2">
      <c r="A784" s="39"/>
      <c r="B784" s="40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N784" s="38" t="str">
        <f t="shared" si="44"/>
        <v/>
      </c>
      <c r="O784" s="38" t="str">
        <f t="shared" si="45"/>
        <v/>
      </c>
      <c r="P784" s="37" t="str">
        <f t="shared" si="46"/>
        <v/>
      </c>
      <c r="Q784" s="37" t="str">
        <f t="shared" si="47"/>
        <v/>
      </c>
    </row>
    <row r="785" spans="1:17" x14ac:dyDescent="0.2">
      <c r="A785" s="39"/>
      <c r="B785" s="40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N785" s="38" t="str">
        <f t="shared" si="44"/>
        <v/>
      </c>
      <c r="O785" s="38" t="str">
        <f t="shared" si="45"/>
        <v/>
      </c>
      <c r="P785" s="37" t="str">
        <f t="shared" si="46"/>
        <v/>
      </c>
      <c r="Q785" s="37" t="str">
        <f t="shared" si="47"/>
        <v/>
      </c>
    </row>
    <row r="786" spans="1:17" x14ac:dyDescent="0.2">
      <c r="A786" s="39"/>
      <c r="B786" s="40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N786" s="38" t="str">
        <f t="shared" si="44"/>
        <v/>
      </c>
      <c r="O786" s="38" t="str">
        <f t="shared" si="45"/>
        <v/>
      </c>
      <c r="P786" s="37" t="str">
        <f t="shared" si="46"/>
        <v/>
      </c>
      <c r="Q786" s="37" t="str">
        <f t="shared" si="47"/>
        <v/>
      </c>
    </row>
    <row r="787" spans="1:17" x14ac:dyDescent="0.2">
      <c r="A787" s="39"/>
      <c r="B787" s="40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N787" s="38" t="str">
        <f t="shared" si="44"/>
        <v/>
      </c>
      <c r="O787" s="38" t="str">
        <f t="shared" si="45"/>
        <v/>
      </c>
      <c r="P787" s="37" t="str">
        <f t="shared" si="46"/>
        <v/>
      </c>
      <c r="Q787" s="37" t="str">
        <f t="shared" si="47"/>
        <v/>
      </c>
    </row>
    <row r="788" spans="1:17" x14ac:dyDescent="0.2">
      <c r="A788" s="39"/>
      <c r="B788" s="40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N788" s="38" t="str">
        <f t="shared" si="44"/>
        <v/>
      </c>
      <c r="O788" s="38" t="str">
        <f t="shared" si="45"/>
        <v/>
      </c>
      <c r="P788" s="37" t="str">
        <f t="shared" si="46"/>
        <v/>
      </c>
      <c r="Q788" s="37" t="str">
        <f t="shared" si="47"/>
        <v/>
      </c>
    </row>
    <row r="789" spans="1:17" x14ac:dyDescent="0.2">
      <c r="A789" s="39"/>
      <c r="B789" s="40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N789" s="38" t="str">
        <f t="shared" si="44"/>
        <v/>
      </c>
      <c r="O789" s="38" t="str">
        <f t="shared" si="45"/>
        <v/>
      </c>
      <c r="P789" s="37" t="str">
        <f t="shared" si="46"/>
        <v/>
      </c>
      <c r="Q789" s="37" t="str">
        <f t="shared" si="47"/>
        <v/>
      </c>
    </row>
    <row r="790" spans="1:17" x14ac:dyDescent="0.2">
      <c r="A790" s="39"/>
      <c r="B790" s="40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N790" s="38" t="str">
        <f t="shared" si="44"/>
        <v/>
      </c>
      <c r="O790" s="38" t="str">
        <f t="shared" si="45"/>
        <v/>
      </c>
      <c r="P790" s="37" t="str">
        <f t="shared" si="46"/>
        <v/>
      </c>
      <c r="Q790" s="37" t="str">
        <f t="shared" si="47"/>
        <v/>
      </c>
    </row>
    <row r="791" spans="1:17" x14ac:dyDescent="0.2">
      <c r="A791" s="39"/>
      <c r="B791" s="40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N791" s="38" t="str">
        <f t="shared" si="44"/>
        <v/>
      </c>
      <c r="O791" s="38" t="str">
        <f t="shared" si="45"/>
        <v/>
      </c>
      <c r="P791" s="37" t="str">
        <f t="shared" si="46"/>
        <v/>
      </c>
      <c r="Q791" s="37" t="str">
        <f t="shared" si="47"/>
        <v/>
      </c>
    </row>
    <row r="792" spans="1:17" x14ac:dyDescent="0.2">
      <c r="A792" s="39"/>
      <c r="B792" s="40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N792" s="38" t="str">
        <f t="shared" si="44"/>
        <v/>
      </c>
      <c r="O792" s="38" t="str">
        <f t="shared" si="45"/>
        <v/>
      </c>
      <c r="P792" s="37" t="str">
        <f t="shared" si="46"/>
        <v/>
      </c>
      <c r="Q792" s="37" t="str">
        <f t="shared" si="47"/>
        <v/>
      </c>
    </row>
    <row r="793" spans="1:17" x14ac:dyDescent="0.2">
      <c r="A793" s="39"/>
      <c r="B793" s="40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N793" s="38" t="str">
        <f t="shared" si="44"/>
        <v/>
      </c>
      <c r="O793" s="38" t="str">
        <f t="shared" si="45"/>
        <v/>
      </c>
      <c r="P793" s="37" t="str">
        <f t="shared" si="46"/>
        <v/>
      </c>
      <c r="Q793" s="37" t="str">
        <f t="shared" si="47"/>
        <v/>
      </c>
    </row>
    <row r="794" spans="1:17" x14ac:dyDescent="0.2">
      <c r="A794" s="39"/>
      <c r="B794" s="40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N794" s="38" t="str">
        <f t="shared" si="44"/>
        <v/>
      </c>
      <c r="O794" s="38" t="str">
        <f t="shared" si="45"/>
        <v/>
      </c>
      <c r="P794" s="37" t="str">
        <f t="shared" si="46"/>
        <v/>
      </c>
      <c r="Q794" s="37" t="str">
        <f t="shared" si="47"/>
        <v/>
      </c>
    </row>
    <row r="795" spans="1:17" x14ac:dyDescent="0.2">
      <c r="A795" s="39"/>
      <c r="B795" s="40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N795" s="38" t="str">
        <f t="shared" si="44"/>
        <v/>
      </c>
      <c r="O795" s="38" t="str">
        <f t="shared" si="45"/>
        <v/>
      </c>
      <c r="P795" s="37" t="str">
        <f t="shared" si="46"/>
        <v/>
      </c>
      <c r="Q795" s="37" t="str">
        <f t="shared" si="47"/>
        <v/>
      </c>
    </row>
    <row r="796" spans="1:17" x14ac:dyDescent="0.2">
      <c r="A796" s="39"/>
      <c r="B796" s="40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N796" s="38" t="str">
        <f t="shared" si="44"/>
        <v/>
      </c>
      <c r="O796" s="38" t="str">
        <f t="shared" si="45"/>
        <v/>
      </c>
      <c r="P796" s="37" t="str">
        <f t="shared" si="46"/>
        <v/>
      </c>
      <c r="Q796" s="37" t="str">
        <f t="shared" si="47"/>
        <v/>
      </c>
    </row>
    <row r="797" spans="1:17" x14ac:dyDescent="0.2">
      <c r="A797" s="39"/>
      <c r="B797" s="40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N797" s="38" t="str">
        <f t="shared" ref="N797:N844" si="48">IF(LEFT($L797,21)="Priority changed from",MID($L797,23,1),"")</f>
        <v/>
      </c>
      <c r="O797" s="38" t="str">
        <f t="shared" ref="O797:O844" si="49">IF(LEFT($L797,21)="Priority changed from",MID($L797,28,1),"")</f>
        <v/>
      </c>
      <c r="P797" s="37" t="str">
        <f t="shared" ref="P797:P844" si="50">IFERROR(IF(E797=1,"Yes",IF(OR(VALUE(N797)=1,VALUE(O797)=1),"Yes","No")),"")</f>
        <v/>
      </c>
      <c r="Q797" s="37" t="str">
        <f t="shared" ref="Q797:Q844" si="51">IFERROR(IF(P797="Yes","No",IF(E797=2,"Yes",IF(OR(VALUE(N797)=2,VALUE(O797)=2),"Yes","No"))),"")</f>
        <v/>
      </c>
    </row>
    <row r="798" spans="1:17" x14ac:dyDescent="0.2">
      <c r="A798" s="39"/>
      <c r="B798" s="40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N798" s="38" t="str">
        <f t="shared" si="48"/>
        <v/>
      </c>
      <c r="O798" s="38" t="str">
        <f t="shared" si="49"/>
        <v/>
      </c>
      <c r="P798" s="37" t="str">
        <f t="shared" si="50"/>
        <v/>
      </c>
      <c r="Q798" s="37" t="str">
        <f t="shared" si="51"/>
        <v/>
      </c>
    </row>
    <row r="799" spans="1:17" x14ac:dyDescent="0.2">
      <c r="A799" s="39"/>
      <c r="B799" s="40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N799" s="38" t="str">
        <f t="shared" si="48"/>
        <v/>
      </c>
      <c r="O799" s="38" t="str">
        <f t="shared" si="49"/>
        <v/>
      </c>
      <c r="P799" s="37" t="str">
        <f t="shared" si="50"/>
        <v/>
      </c>
      <c r="Q799" s="37" t="str">
        <f t="shared" si="51"/>
        <v/>
      </c>
    </row>
    <row r="800" spans="1:17" x14ac:dyDescent="0.2">
      <c r="A800" s="39"/>
      <c r="B800" s="40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N800" s="38" t="str">
        <f t="shared" si="48"/>
        <v/>
      </c>
      <c r="O800" s="38" t="str">
        <f t="shared" si="49"/>
        <v/>
      </c>
      <c r="P800" s="37" t="str">
        <f t="shared" si="50"/>
        <v/>
      </c>
      <c r="Q800" s="37" t="str">
        <f t="shared" si="51"/>
        <v/>
      </c>
    </row>
    <row r="801" spans="1:17" x14ac:dyDescent="0.2">
      <c r="A801" s="39"/>
      <c r="B801" s="40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N801" s="38" t="str">
        <f t="shared" si="48"/>
        <v/>
      </c>
      <c r="O801" s="38" t="str">
        <f t="shared" si="49"/>
        <v/>
      </c>
      <c r="P801" s="37" t="str">
        <f t="shared" si="50"/>
        <v/>
      </c>
      <c r="Q801" s="37" t="str">
        <f t="shared" si="51"/>
        <v/>
      </c>
    </row>
    <row r="802" spans="1:17" x14ac:dyDescent="0.2">
      <c r="A802" s="39"/>
      <c r="B802" s="40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N802" s="38" t="str">
        <f t="shared" si="48"/>
        <v/>
      </c>
      <c r="O802" s="38" t="str">
        <f t="shared" si="49"/>
        <v/>
      </c>
      <c r="P802" s="37" t="str">
        <f t="shared" si="50"/>
        <v/>
      </c>
      <c r="Q802" s="37" t="str">
        <f t="shared" si="51"/>
        <v/>
      </c>
    </row>
    <row r="803" spans="1:17" x14ac:dyDescent="0.2">
      <c r="A803" s="39"/>
      <c r="B803" s="40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N803" s="38" t="str">
        <f t="shared" si="48"/>
        <v/>
      </c>
      <c r="O803" s="38" t="str">
        <f t="shared" si="49"/>
        <v/>
      </c>
      <c r="P803" s="37" t="str">
        <f t="shared" si="50"/>
        <v/>
      </c>
      <c r="Q803" s="37" t="str">
        <f t="shared" si="51"/>
        <v/>
      </c>
    </row>
    <row r="804" spans="1:17" x14ac:dyDescent="0.2">
      <c r="A804" s="39"/>
      <c r="B804" s="40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N804" s="38" t="str">
        <f t="shared" si="48"/>
        <v/>
      </c>
      <c r="O804" s="38" t="str">
        <f t="shared" si="49"/>
        <v/>
      </c>
      <c r="P804" s="37" t="str">
        <f t="shared" si="50"/>
        <v/>
      </c>
      <c r="Q804" s="37" t="str">
        <f t="shared" si="51"/>
        <v/>
      </c>
    </row>
    <row r="805" spans="1:17" x14ac:dyDescent="0.2">
      <c r="A805" s="39"/>
      <c r="B805" s="40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N805" s="38" t="str">
        <f t="shared" si="48"/>
        <v/>
      </c>
      <c r="O805" s="38" t="str">
        <f t="shared" si="49"/>
        <v/>
      </c>
      <c r="P805" s="37" t="str">
        <f t="shared" si="50"/>
        <v/>
      </c>
      <c r="Q805" s="37" t="str">
        <f t="shared" si="51"/>
        <v/>
      </c>
    </row>
    <row r="806" spans="1:17" x14ac:dyDescent="0.2">
      <c r="A806" s="39"/>
      <c r="B806" s="40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N806" s="38" t="str">
        <f t="shared" si="48"/>
        <v/>
      </c>
      <c r="O806" s="38" t="str">
        <f t="shared" si="49"/>
        <v/>
      </c>
      <c r="P806" s="37" t="str">
        <f t="shared" si="50"/>
        <v/>
      </c>
      <c r="Q806" s="37" t="str">
        <f t="shared" si="51"/>
        <v/>
      </c>
    </row>
    <row r="807" spans="1:17" x14ac:dyDescent="0.2">
      <c r="A807" s="39"/>
      <c r="B807" s="40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N807" s="38" t="str">
        <f t="shared" si="48"/>
        <v/>
      </c>
      <c r="O807" s="38" t="str">
        <f t="shared" si="49"/>
        <v/>
      </c>
      <c r="P807" s="37" t="str">
        <f t="shared" si="50"/>
        <v/>
      </c>
      <c r="Q807" s="37" t="str">
        <f t="shared" si="51"/>
        <v/>
      </c>
    </row>
    <row r="808" spans="1:17" x14ac:dyDescent="0.2">
      <c r="A808" s="39"/>
      <c r="B808" s="40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N808" s="38" t="str">
        <f t="shared" si="48"/>
        <v/>
      </c>
      <c r="O808" s="38" t="str">
        <f t="shared" si="49"/>
        <v/>
      </c>
      <c r="P808" s="37" t="str">
        <f t="shared" si="50"/>
        <v/>
      </c>
      <c r="Q808" s="37" t="str">
        <f t="shared" si="51"/>
        <v/>
      </c>
    </row>
    <row r="809" spans="1:17" x14ac:dyDescent="0.2">
      <c r="A809" s="39"/>
      <c r="B809" s="40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N809" s="38" t="str">
        <f t="shared" si="48"/>
        <v/>
      </c>
      <c r="O809" s="38" t="str">
        <f t="shared" si="49"/>
        <v/>
      </c>
      <c r="P809" s="37" t="str">
        <f t="shared" si="50"/>
        <v/>
      </c>
      <c r="Q809" s="37" t="str">
        <f t="shared" si="51"/>
        <v/>
      </c>
    </row>
    <row r="810" spans="1:17" x14ac:dyDescent="0.2">
      <c r="A810" s="39"/>
      <c r="B810" s="40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N810" s="38" t="str">
        <f t="shared" si="48"/>
        <v/>
      </c>
      <c r="O810" s="38" t="str">
        <f t="shared" si="49"/>
        <v/>
      </c>
      <c r="P810" s="37" t="str">
        <f t="shared" si="50"/>
        <v/>
      </c>
      <c r="Q810" s="37" t="str">
        <f t="shared" si="51"/>
        <v/>
      </c>
    </row>
    <row r="811" spans="1:17" x14ac:dyDescent="0.2">
      <c r="A811" s="39"/>
      <c r="B811" s="40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N811" s="38" t="str">
        <f t="shared" si="48"/>
        <v/>
      </c>
      <c r="O811" s="38" t="str">
        <f t="shared" si="49"/>
        <v/>
      </c>
      <c r="P811" s="37" t="str">
        <f t="shared" si="50"/>
        <v/>
      </c>
      <c r="Q811" s="37" t="str">
        <f t="shared" si="51"/>
        <v/>
      </c>
    </row>
    <row r="812" spans="1:17" x14ac:dyDescent="0.2">
      <c r="A812" s="39"/>
      <c r="B812" s="40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N812" s="38" t="str">
        <f t="shared" si="48"/>
        <v/>
      </c>
      <c r="O812" s="38" t="str">
        <f t="shared" si="49"/>
        <v/>
      </c>
      <c r="P812" s="37" t="str">
        <f t="shared" si="50"/>
        <v/>
      </c>
      <c r="Q812" s="37" t="str">
        <f t="shared" si="51"/>
        <v/>
      </c>
    </row>
    <row r="813" spans="1:17" x14ac:dyDescent="0.2">
      <c r="A813" s="39"/>
      <c r="B813" s="40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N813" s="38" t="str">
        <f t="shared" si="48"/>
        <v/>
      </c>
      <c r="O813" s="38" t="str">
        <f t="shared" si="49"/>
        <v/>
      </c>
      <c r="P813" s="37" t="str">
        <f t="shared" si="50"/>
        <v/>
      </c>
      <c r="Q813" s="37" t="str">
        <f t="shared" si="51"/>
        <v/>
      </c>
    </row>
    <row r="814" spans="1:17" x14ac:dyDescent="0.2">
      <c r="A814" s="39"/>
      <c r="B814" s="40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N814" s="38" t="str">
        <f t="shared" si="48"/>
        <v/>
      </c>
      <c r="O814" s="38" t="str">
        <f t="shared" si="49"/>
        <v/>
      </c>
      <c r="P814" s="37" t="str">
        <f t="shared" si="50"/>
        <v/>
      </c>
      <c r="Q814" s="37" t="str">
        <f t="shared" si="51"/>
        <v/>
      </c>
    </row>
    <row r="815" spans="1:17" x14ac:dyDescent="0.2">
      <c r="A815" s="39"/>
      <c r="B815" s="40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N815" s="38" t="str">
        <f t="shared" si="48"/>
        <v/>
      </c>
      <c r="O815" s="38" t="str">
        <f t="shared" si="49"/>
        <v/>
      </c>
      <c r="P815" s="37" t="str">
        <f t="shared" si="50"/>
        <v/>
      </c>
      <c r="Q815" s="37" t="str">
        <f t="shared" si="51"/>
        <v/>
      </c>
    </row>
    <row r="816" spans="1:17" x14ac:dyDescent="0.2">
      <c r="A816" s="39"/>
      <c r="B816" s="40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N816" s="38" t="str">
        <f t="shared" si="48"/>
        <v/>
      </c>
      <c r="O816" s="38" t="str">
        <f t="shared" si="49"/>
        <v/>
      </c>
      <c r="P816" s="37" t="str">
        <f t="shared" si="50"/>
        <v/>
      </c>
      <c r="Q816" s="37" t="str">
        <f t="shared" si="51"/>
        <v/>
      </c>
    </row>
    <row r="817" spans="1:17" x14ac:dyDescent="0.2">
      <c r="A817" s="39"/>
      <c r="B817" s="40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N817" s="38" t="str">
        <f t="shared" si="48"/>
        <v/>
      </c>
      <c r="O817" s="38" t="str">
        <f t="shared" si="49"/>
        <v/>
      </c>
      <c r="P817" s="37" t="str">
        <f t="shared" si="50"/>
        <v/>
      </c>
      <c r="Q817" s="37" t="str">
        <f t="shared" si="51"/>
        <v/>
      </c>
    </row>
    <row r="818" spans="1:17" x14ac:dyDescent="0.2">
      <c r="A818" s="39"/>
      <c r="B818" s="40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N818" s="38" t="str">
        <f t="shared" si="48"/>
        <v/>
      </c>
      <c r="O818" s="38" t="str">
        <f t="shared" si="49"/>
        <v/>
      </c>
      <c r="P818" s="37" t="str">
        <f t="shared" si="50"/>
        <v/>
      </c>
      <c r="Q818" s="37" t="str">
        <f t="shared" si="51"/>
        <v/>
      </c>
    </row>
    <row r="819" spans="1:17" x14ac:dyDescent="0.2">
      <c r="A819" s="39"/>
      <c r="B819" s="40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N819" s="38" t="str">
        <f t="shared" si="48"/>
        <v/>
      </c>
      <c r="O819" s="38" t="str">
        <f t="shared" si="49"/>
        <v/>
      </c>
      <c r="P819" s="37" t="str">
        <f t="shared" si="50"/>
        <v/>
      </c>
      <c r="Q819" s="37" t="str">
        <f t="shared" si="51"/>
        <v/>
      </c>
    </row>
    <row r="820" spans="1:17" x14ac:dyDescent="0.2">
      <c r="A820" s="39"/>
      <c r="B820" s="40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N820" s="38" t="str">
        <f t="shared" si="48"/>
        <v/>
      </c>
      <c r="O820" s="38" t="str">
        <f t="shared" si="49"/>
        <v/>
      </c>
      <c r="P820" s="37" t="str">
        <f t="shared" si="50"/>
        <v/>
      </c>
      <c r="Q820" s="37" t="str">
        <f t="shared" si="51"/>
        <v/>
      </c>
    </row>
    <row r="821" spans="1:17" x14ac:dyDescent="0.2">
      <c r="A821" s="39"/>
      <c r="B821" s="40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N821" s="38" t="str">
        <f t="shared" si="48"/>
        <v/>
      </c>
      <c r="O821" s="38" t="str">
        <f t="shared" si="49"/>
        <v/>
      </c>
      <c r="P821" s="37" t="str">
        <f t="shared" si="50"/>
        <v/>
      </c>
      <c r="Q821" s="37" t="str">
        <f t="shared" si="51"/>
        <v/>
      </c>
    </row>
    <row r="822" spans="1:17" x14ac:dyDescent="0.2">
      <c r="A822" s="39"/>
      <c r="B822" s="40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N822" s="38" t="str">
        <f t="shared" si="48"/>
        <v/>
      </c>
      <c r="O822" s="38" t="str">
        <f t="shared" si="49"/>
        <v/>
      </c>
      <c r="P822" s="37" t="str">
        <f t="shared" si="50"/>
        <v/>
      </c>
      <c r="Q822" s="37" t="str">
        <f t="shared" si="51"/>
        <v/>
      </c>
    </row>
    <row r="823" spans="1:17" x14ac:dyDescent="0.2">
      <c r="A823" s="39"/>
      <c r="B823" s="40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N823" s="38" t="str">
        <f t="shared" si="48"/>
        <v/>
      </c>
      <c r="O823" s="38" t="str">
        <f t="shared" si="49"/>
        <v/>
      </c>
      <c r="P823" s="37" t="str">
        <f t="shared" si="50"/>
        <v/>
      </c>
      <c r="Q823" s="37" t="str">
        <f t="shared" si="51"/>
        <v/>
      </c>
    </row>
    <row r="824" spans="1:17" x14ac:dyDescent="0.2">
      <c r="A824" s="39"/>
      <c r="B824" s="40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N824" s="38" t="str">
        <f t="shared" si="48"/>
        <v/>
      </c>
      <c r="O824" s="38" t="str">
        <f t="shared" si="49"/>
        <v/>
      </c>
      <c r="P824" s="37" t="str">
        <f t="shared" si="50"/>
        <v/>
      </c>
      <c r="Q824" s="37" t="str">
        <f t="shared" si="51"/>
        <v/>
      </c>
    </row>
    <row r="825" spans="1:17" x14ac:dyDescent="0.2">
      <c r="A825" s="39"/>
      <c r="B825" s="40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N825" s="38" t="str">
        <f t="shared" si="48"/>
        <v/>
      </c>
      <c r="O825" s="38" t="str">
        <f t="shared" si="49"/>
        <v/>
      </c>
      <c r="P825" s="37" t="str">
        <f t="shared" si="50"/>
        <v/>
      </c>
      <c r="Q825" s="37" t="str">
        <f t="shared" si="51"/>
        <v/>
      </c>
    </row>
    <row r="826" spans="1:17" x14ac:dyDescent="0.2">
      <c r="A826" s="39"/>
      <c r="B826" s="40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N826" s="38" t="str">
        <f t="shared" si="48"/>
        <v/>
      </c>
      <c r="O826" s="38" t="str">
        <f t="shared" si="49"/>
        <v/>
      </c>
      <c r="P826" s="37" t="str">
        <f t="shared" si="50"/>
        <v/>
      </c>
      <c r="Q826" s="37" t="str">
        <f t="shared" si="51"/>
        <v/>
      </c>
    </row>
    <row r="827" spans="1:17" x14ac:dyDescent="0.2">
      <c r="A827" s="39"/>
      <c r="B827" s="40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N827" s="38" t="str">
        <f t="shared" si="48"/>
        <v/>
      </c>
      <c r="O827" s="38" t="str">
        <f t="shared" si="49"/>
        <v/>
      </c>
      <c r="P827" s="37" t="str">
        <f t="shared" si="50"/>
        <v/>
      </c>
      <c r="Q827" s="37" t="str">
        <f t="shared" si="51"/>
        <v/>
      </c>
    </row>
    <row r="828" spans="1:17" x14ac:dyDescent="0.2">
      <c r="A828" s="39"/>
      <c r="B828" s="40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N828" s="38" t="str">
        <f t="shared" si="48"/>
        <v/>
      </c>
      <c r="O828" s="38" t="str">
        <f t="shared" si="49"/>
        <v/>
      </c>
      <c r="P828" s="37" t="str">
        <f t="shared" si="50"/>
        <v/>
      </c>
      <c r="Q828" s="37" t="str">
        <f t="shared" si="51"/>
        <v/>
      </c>
    </row>
    <row r="829" spans="1:17" x14ac:dyDescent="0.2">
      <c r="A829" s="39"/>
      <c r="B829" s="40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N829" s="38" t="str">
        <f t="shared" si="48"/>
        <v/>
      </c>
      <c r="O829" s="38" t="str">
        <f t="shared" si="49"/>
        <v/>
      </c>
      <c r="P829" s="37" t="str">
        <f t="shared" si="50"/>
        <v/>
      </c>
      <c r="Q829" s="37" t="str">
        <f t="shared" si="51"/>
        <v/>
      </c>
    </row>
    <row r="830" spans="1:17" x14ac:dyDescent="0.2">
      <c r="A830" s="39"/>
      <c r="B830" s="40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N830" s="38" t="str">
        <f t="shared" si="48"/>
        <v/>
      </c>
      <c r="O830" s="38" t="str">
        <f t="shared" si="49"/>
        <v/>
      </c>
      <c r="P830" s="37" t="str">
        <f t="shared" si="50"/>
        <v/>
      </c>
      <c r="Q830" s="37" t="str">
        <f t="shared" si="51"/>
        <v/>
      </c>
    </row>
    <row r="831" spans="1:17" x14ac:dyDescent="0.2">
      <c r="A831" s="39"/>
      <c r="B831" s="40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N831" s="38" t="str">
        <f t="shared" si="48"/>
        <v/>
      </c>
      <c r="O831" s="38" t="str">
        <f t="shared" si="49"/>
        <v/>
      </c>
      <c r="P831" s="37" t="str">
        <f t="shared" si="50"/>
        <v/>
      </c>
      <c r="Q831" s="37" t="str">
        <f t="shared" si="51"/>
        <v/>
      </c>
    </row>
    <row r="832" spans="1:17" x14ac:dyDescent="0.2">
      <c r="A832" s="39"/>
      <c r="B832" s="40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N832" s="38" t="str">
        <f t="shared" si="48"/>
        <v/>
      </c>
      <c r="O832" s="38" t="str">
        <f t="shared" si="49"/>
        <v/>
      </c>
      <c r="P832" s="37" t="str">
        <f t="shared" si="50"/>
        <v/>
      </c>
      <c r="Q832" s="37" t="str">
        <f t="shared" si="51"/>
        <v/>
      </c>
    </row>
    <row r="833" spans="1:17" x14ac:dyDescent="0.2">
      <c r="A833" s="39"/>
      <c r="B833" s="40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N833" s="38" t="str">
        <f t="shared" si="48"/>
        <v/>
      </c>
      <c r="O833" s="38" t="str">
        <f t="shared" si="49"/>
        <v/>
      </c>
      <c r="P833" s="37" t="str">
        <f t="shared" si="50"/>
        <v/>
      </c>
      <c r="Q833" s="37" t="str">
        <f t="shared" si="51"/>
        <v/>
      </c>
    </row>
    <row r="834" spans="1:17" x14ac:dyDescent="0.2">
      <c r="A834" s="39"/>
      <c r="B834" s="40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N834" s="38" t="str">
        <f t="shared" si="48"/>
        <v/>
      </c>
      <c r="O834" s="38" t="str">
        <f t="shared" si="49"/>
        <v/>
      </c>
      <c r="P834" s="37" t="str">
        <f t="shared" si="50"/>
        <v/>
      </c>
      <c r="Q834" s="37" t="str">
        <f t="shared" si="51"/>
        <v/>
      </c>
    </row>
    <row r="835" spans="1:17" x14ac:dyDescent="0.2">
      <c r="A835" s="39"/>
      <c r="B835" s="40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N835" s="38" t="str">
        <f t="shared" si="48"/>
        <v/>
      </c>
      <c r="O835" s="38" t="str">
        <f t="shared" si="49"/>
        <v/>
      </c>
      <c r="P835" s="37" t="str">
        <f t="shared" si="50"/>
        <v/>
      </c>
      <c r="Q835" s="37" t="str">
        <f t="shared" si="51"/>
        <v/>
      </c>
    </row>
    <row r="836" spans="1:17" x14ac:dyDescent="0.2">
      <c r="A836" s="39"/>
      <c r="B836" s="40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N836" s="38" t="str">
        <f t="shared" si="48"/>
        <v/>
      </c>
      <c r="O836" s="38" t="str">
        <f t="shared" si="49"/>
        <v/>
      </c>
      <c r="P836" s="37" t="str">
        <f t="shared" si="50"/>
        <v/>
      </c>
      <c r="Q836" s="37" t="str">
        <f t="shared" si="51"/>
        <v/>
      </c>
    </row>
    <row r="837" spans="1:17" x14ac:dyDescent="0.2">
      <c r="A837" s="39"/>
      <c r="B837" s="40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N837" s="38" t="str">
        <f t="shared" si="48"/>
        <v/>
      </c>
      <c r="O837" s="38" t="str">
        <f t="shared" si="49"/>
        <v/>
      </c>
      <c r="P837" s="37" t="str">
        <f t="shared" si="50"/>
        <v/>
      </c>
      <c r="Q837" s="37" t="str">
        <f t="shared" si="51"/>
        <v/>
      </c>
    </row>
    <row r="838" spans="1:17" x14ac:dyDescent="0.2">
      <c r="A838" s="39"/>
      <c r="B838" s="40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N838" s="38" t="str">
        <f t="shared" si="48"/>
        <v/>
      </c>
      <c r="O838" s="38" t="str">
        <f t="shared" si="49"/>
        <v/>
      </c>
      <c r="P838" s="37" t="str">
        <f t="shared" si="50"/>
        <v/>
      </c>
      <c r="Q838" s="37" t="str">
        <f t="shared" si="51"/>
        <v/>
      </c>
    </row>
    <row r="839" spans="1:17" x14ac:dyDescent="0.2">
      <c r="A839" s="39"/>
      <c r="B839" s="40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N839" s="38" t="str">
        <f t="shared" si="48"/>
        <v/>
      </c>
      <c r="O839" s="38" t="str">
        <f t="shared" si="49"/>
        <v/>
      </c>
      <c r="P839" s="37" t="str">
        <f t="shared" si="50"/>
        <v/>
      </c>
      <c r="Q839" s="37" t="str">
        <f t="shared" si="51"/>
        <v/>
      </c>
    </row>
    <row r="840" spans="1:17" x14ac:dyDescent="0.2">
      <c r="A840" s="39"/>
      <c r="B840" s="40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N840" s="38" t="str">
        <f t="shared" si="48"/>
        <v/>
      </c>
      <c r="O840" s="38" t="str">
        <f t="shared" si="49"/>
        <v/>
      </c>
      <c r="P840" s="37" t="str">
        <f t="shared" si="50"/>
        <v/>
      </c>
      <c r="Q840" s="37" t="str">
        <f t="shared" si="51"/>
        <v/>
      </c>
    </row>
    <row r="841" spans="1:17" x14ac:dyDescent="0.2">
      <c r="A841" s="39"/>
      <c r="B841" s="40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N841" s="38" t="str">
        <f t="shared" si="48"/>
        <v/>
      </c>
      <c r="O841" s="38" t="str">
        <f t="shared" si="49"/>
        <v/>
      </c>
      <c r="P841" s="37" t="str">
        <f t="shared" si="50"/>
        <v/>
      </c>
      <c r="Q841" s="37" t="str">
        <f t="shared" si="51"/>
        <v/>
      </c>
    </row>
    <row r="842" spans="1:17" x14ac:dyDescent="0.2">
      <c r="A842" s="39"/>
      <c r="B842" s="40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N842" s="38" t="str">
        <f t="shared" si="48"/>
        <v/>
      </c>
      <c r="O842" s="38" t="str">
        <f t="shared" si="49"/>
        <v/>
      </c>
      <c r="P842" s="37" t="str">
        <f t="shared" si="50"/>
        <v/>
      </c>
      <c r="Q842" s="37" t="str">
        <f t="shared" si="51"/>
        <v/>
      </c>
    </row>
    <row r="843" spans="1:17" x14ac:dyDescent="0.2">
      <c r="A843" s="39"/>
      <c r="B843" s="40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N843" s="38" t="str">
        <f t="shared" si="48"/>
        <v/>
      </c>
      <c r="O843" s="38" t="str">
        <f t="shared" si="49"/>
        <v/>
      </c>
      <c r="P843" s="37" t="str">
        <f t="shared" si="50"/>
        <v/>
      </c>
      <c r="Q843" s="37" t="str">
        <f t="shared" si="51"/>
        <v/>
      </c>
    </row>
    <row r="844" spans="1:17" x14ac:dyDescent="0.2">
      <c r="A844" s="39"/>
      <c r="B844" s="40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N844" s="38" t="str">
        <f t="shared" si="48"/>
        <v/>
      </c>
      <c r="O844" s="38" t="str">
        <f t="shared" si="49"/>
        <v/>
      </c>
      <c r="P844" s="37" t="str">
        <f t="shared" si="50"/>
        <v/>
      </c>
      <c r="Q844" s="37" t="str">
        <f t="shared" si="51"/>
        <v/>
      </c>
    </row>
  </sheetData>
  <mergeCells count="5">
    <mergeCell ref="A1:B4"/>
    <mergeCell ref="E2:H2"/>
    <mergeCell ref="A7:F7"/>
    <mergeCell ref="A15:D15"/>
    <mergeCell ref="A21:D21"/>
  </mergeCells>
  <pageMargins left="1" right="1" top="1" bottom="1.3945799212598426" header="1" footer="1"/>
  <pageSetup orientation="portrait" r:id="rId1"/>
  <headerFooter alignWithMargins="0">
    <oddFooter xml:space="preserve">&amp;L&amp;"Calibri"&amp;10&amp;BReport Executed on : 7/10/2013 2:59:16 PM&amp;B &amp;C&amp;R&amp;"Calibri"&amp;10&amp;BPage Number: &amp;P&amp;B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FF"/>
  </sheetPr>
  <dimension ref="A1:XFC54"/>
  <sheetViews>
    <sheetView workbookViewId="0">
      <selection activeCell="E24" sqref="E24"/>
    </sheetView>
  </sheetViews>
  <sheetFormatPr defaultRowHeight="12.75" x14ac:dyDescent="0.2"/>
  <cols>
    <col min="1" max="1" width="11" bestFit="1" customWidth="1"/>
    <col min="2" max="2" width="24.285156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66.28515625" customWidth="1"/>
    <col min="13" max="13" width="214.5703125" bestFit="1" customWidth="1"/>
  </cols>
  <sheetData>
    <row r="1" spans="1:14 16383:16383" x14ac:dyDescent="0.2">
      <c r="A1" s="13" t="s">
        <v>1</v>
      </c>
      <c r="B1" s="16" t="s">
        <v>8</v>
      </c>
      <c r="C1" s="17" t="s">
        <v>9</v>
      </c>
      <c r="D1" s="16" t="s">
        <v>10</v>
      </c>
      <c r="E1" s="16" t="s">
        <v>2</v>
      </c>
      <c r="F1" s="16" t="s">
        <v>428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2" t="s">
        <v>12</v>
      </c>
    </row>
    <row r="2" spans="1:14 16383:16383" x14ac:dyDescent="0.2">
      <c r="A2" s="78" t="s">
        <v>448</v>
      </c>
      <c r="B2" s="82" t="s">
        <v>403</v>
      </c>
      <c r="C2" s="83" t="s">
        <v>424</v>
      </c>
      <c r="D2" s="82" t="s">
        <v>424</v>
      </c>
      <c r="E2" s="82" t="s">
        <v>424</v>
      </c>
      <c r="F2" s="82" t="s">
        <v>424</v>
      </c>
      <c r="G2" s="82" t="s">
        <v>0</v>
      </c>
      <c r="H2" s="82" t="s">
        <v>0</v>
      </c>
      <c r="I2" s="82" t="s">
        <v>0</v>
      </c>
      <c r="J2" s="82" t="s">
        <v>0</v>
      </c>
      <c r="K2" s="82" t="s">
        <v>0</v>
      </c>
      <c r="L2" s="82" t="s">
        <v>0</v>
      </c>
      <c r="M2" s="84"/>
    </row>
    <row r="3" spans="1:14 16383:16383" s="2" customFormat="1" x14ac:dyDescent="0.2">
      <c r="A3" s="78" t="s">
        <v>450</v>
      </c>
      <c r="B3" s="82" t="s">
        <v>403</v>
      </c>
      <c r="C3" s="83" t="s">
        <v>424</v>
      </c>
      <c r="D3" s="82" t="s">
        <v>424</v>
      </c>
      <c r="E3" s="82" t="s">
        <v>424</v>
      </c>
      <c r="F3" s="82" t="s">
        <v>0</v>
      </c>
      <c r="G3" s="82" t="s">
        <v>0</v>
      </c>
      <c r="H3" s="82" t="s">
        <v>0</v>
      </c>
      <c r="I3" s="82" t="s">
        <v>0</v>
      </c>
      <c r="J3" s="82" t="s">
        <v>0</v>
      </c>
      <c r="K3" s="82" t="s">
        <v>0</v>
      </c>
      <c r="L3" s="82" t="s">
        <v>0</v>
      </c>
      <c r="M3" s="82"/>
    </row>
    <row r="4" spans="1:14 16383:16383" s="4" customFormat="1" x14ac:dyDescent="0.2">
      <c r="A4" s="79" t="s">
        <v>451</v>
      </c>
      <c r="B4" s="85" t="s">
        <v>403</v>
      </c>
      <c r="C4" s="28" t="s">
        <v>0</v>
      </c>
      <c r="D4" s="28" t="s">
        <v>424</v>
      </c>
      <c r="E4" s="28" t="s">
        <v>424</v>
      </c>
      <c r="F4" s="28" t="s">
        <v>424</v>
      </c>
      <c r="G4" s="28" t="s">
        <v>0</v>
      </c>
      <c r="H4" s="28" t="s">
        <v>0</v>
      </c>
      <c r="I4" s="28" t="s">
        <v>0</v>
      </c>
      <c r="J4" s="28" t="s">
        <v>0</v>
      </c>
      <c r="K4" s="28" t="s">
        <v>0</v>
      </c>
      <c r="L4" s="28" t="s">
        <v>0</v>
      </c>
      <c r="M4" s="28"/>
      <c r="N4" s="80"/>
      <c r="XFC4" s="24"/>
    </row>
    <row r="5" spans="1:14 16383:16383" s="4" customFormat="1" x14ac:dyDescent="0.2">
      <c r="A5" s="32" t="s">
        <v>452</v>
      </c>
      <c r="B5" s="81" t="s">
        <v>403</v>
      </c>
      <c r="C5" s="29" t="s">
        <v>424</v>
      </c>
      <c r="D5" s="29" t="s">
        <v>424</v>
      </c>
      <c r="E5" s="29" t="s">
        <v>424</v>
      </c>
      <c r="F5" s="29" t="s">
        <v>424</v>
      </c>
      <c r="G5" s="29" t="s">
        <v>0</v>
      </c>
      <c r="H5" s="29" t="s">
        <v>424</v>
      </c>
      <c r="I5" s="29" t="s">
        <v>0</v>
      </c>
      <c r="J5" s="29" t="s">
        <v>0</v>
      </c>
      <c r="K5" s="29" t="s">
        <v>0</v>
      </c>
      <c r="L5" s="29" t="s">
        <v>0</v>
      </c>
      <c r="M5" s="29"/>
    </row>
    <row r="6" spans="1:14 16383:16383" s="4" customFormat="1" x14ac:dyDescent="0.2">
      <c r="A6" s="32" t="s">
        <v>455</v>
      </c>
      <c r="B6" s="19" t="s">
        <v>456</v>
      </c>
      <c r="C6" s="18" t="s">
        <v>424</v>
      </c>
      <c r="D6" s="18" t="s">
        <v>424</v>
      </c>
      <c r="E6" s="18" t="s">
        <v>424</v>
      </c>
      <c r="F6" s="18" t="s">
        <v>424</v>
      </c>
      <c r="G6" s="18" t="s">
        <v>0</v>
      </c>
      <c r="H6" s="18" t="s">
        <v>0</v>
      </c>
      <c r="I6" s="18" t="s">
        <v>424</v>
      </c>
      <c r="J6" s="18" t="s">
        <v>424</v>
      </c>
      <c r="K6" s="18" t="s">
        <v>424</v>
      </c>
      <c r="L6" s="18" t="s">
        <v>0</v>
      </c>
      <c r="M6" s="18"/>
    </row>
    <row r="7" spans="1:14 16383:16383" s="4" customFormat="1" x14ac:dyDescent="0.2">
      <c r="A7" s="32" t="s">
        <v>458</v>
      </c>
      <c r="B7" s="19" t="s">
        <v>406</v>
      </c>
      <c r="C7" s="18" t="s">
        <v>426</v>
      </c>
      <c r="D7" s="18" t="s">
        <v>424</v>
      </c>
      <c r="E7" s="18" t="s">
        <v>426</v>
      </c>
      <c r="F7" s="18" t="s">
        <v>424</v>
      </c>
      <c r="G7" s="18" t="s">
        <v>0</v>
      </c>
      <c r="H7" s="18" t="s">
        <v>424</v>
      </c>
      <c r="I7" s="18" t="s">
        <v>0</v>
      </c>
      <c r="J7" s="18" t="s">
        <v>0</v>
      </c>
      <c r="K7" s="18" t="s">
        <v>0</v>
      </c>
      <c r="L7" s="18" t="s">
        <v>459</v>
      </c>
      <c r="M7" s="18"/>
      <c r="XFC7" s="18"/>
    </row>
    <row r="8" spans="1:14 16383:16383" s="4" customFormat="1" x14ac:dyDescent="0.2">
      <c r="A8" s="19" t="s">
        <v>460</v>
      </c>
      <c r="B8" s="19" t="s">
        <v>403</v>
      </c>
      <c r="C8" s="18" t="s">
        <v>426</v>
      </c>
      <c r="D8" s="18" t="s">
        <v>424</v>
      </c>
      <c r="E8" s="18" t="s">
        <v>424</v>
      </c>
      <c r="F8" s="18" t="s">
        <v>0</v>
      </c>
      <c r="G8" s="18" t="s">
        <v>0</v>
      </c>
      <c r="H8" s="18" t="s">
        <v>0</v>
      </c>
      <c r="I8" s="18" t="s">
        <v>424</v>
      </c>
      <c r="J8" s="18" t="s">
        <v>0</v>
      </c>
      <c r="K8" s="18" t="s">
        <v>0</v>
      </c>
      <c r="L8" s="18" t="s">
        <v>461</v>
      </c>
      <c r="M8" s="18"/>
    </row>
    <row r="9" spans="1:14 16383:16383" x14ac:dyDescent="0.2">
      <c r="A9" s="69" t="s">
        <v>477</v>
      </c>
      <c r="B9" s="11" t="s">
        <v>407</v>
      </c>
      <c r="C9" s="11" t="s">
        <v>424</v>
      </c>
      <c r="D9" s="11" t="s">
        <v>424</v>
      </c>
      <c r="E9" s="11" t="s">
        <v>424</v>
      </c>
      <c r="F9" s="11" t="s">
        <v>424</v>
      </c>
      <c r="G9" s="11" t="s">
        <v>0</v>
      </c>
      <c r="H9" s="11" t="s">
        <v>0</v>
      </c>
      <c r="I9" s="11" t="s">
        <v>0</v>
      </c>
      <c r="J9" s="11" t="s">
        <v>0</v>
      </c>
      <c r="K9" s="11" t="s">
        <v>0</v>
      </c>
      <c r="L9" s="11" t="s">
        <v>0</v>
      </c>
      <c r="M9" s="75"/>
    </row>
    <row r="10" spans="1:14 16383:16383" x14ac:dyDescent="0.2">
      <c r="A10" s="11" t="s">
        <v>478</v>
      </c>
      <c r="B10" s="11" t="s">
        <v>407</v>
      </c>
      <c r="C10" s="87" t="s">
        <v>424</v>
      </c>
      <c r="D10" s="87" t="s">
        <v>424</v>
      </c>
      <c r="E10" s="87" t="s">
        <v>424</v>
      </c>
      <c r="F10" s="87" t="s">
        <v>424</v>
      </c>
      <c r="G10" s="87" t="s">
        <v>0</v>
      </c>
      <c r="H10" s="87" t="s">
        <v>0</v>
      </c>
      <c r="I10" s="87" t="s">
        <v>0</v>
      </c>
      <c r="J10" s="87" t="s">
        <v>0</v>
      </c>
      <c r="K10" s="87" t="s">
        <v>0</v>
      </c>
      <c r="L10" s="87" t="s">
        <v>0</v>
      </c>
      <c r="M10" s="75"/>
    </row>
    <row r="11" spans="1:14 16383:16383" x14ac:dyDescent="0.2">
      <c r="A11" s="11" t="s">
        <v>479</v>
      </c>
      <c r="B11" s="11" t="s">
        <v>407</v>
      </c>
      <c r="C11" s="87" t="s">
        <v>424</v>
      </c>
      <c r="D11" s="87" t="s">
        <v>424</v>
      </c>
      <c r="E11" s="87" t="s">
        <v>424</v>
      </c>
      <c r="F11" s="87" t="s">
        <v>424</v>
      </c>
      <c r="G11" s="87" t="s">
        <v>0</v>
      </c>
      <c r="H11" s="87" t="s">
        <v>0</v>
      </c>
      <c r="I11" s="87" t="s">
        <v>0</v>
      </c>
      <c r="J11" s="87" t="s">
        <v>0</v>
      </c>
      <c r="K11" s="87" t="s">
        <v>0</v>
      </c>
      <c r="L11" s="87" t="s">
        <v>0</v>
      </c>
      <c r="M11" s="75"/>
    </row>
    <row r="12" spans="1:14 16383:16383" x14ac:dyDescent="0.2">
      <c r="A12" s="11" t="s">
        <v>486</v>
      </c>
      <c r="B12" s="11" t="s">
        <v>407</v>
      </c>
      <c r="C12" s="11" t="s">
        <v>424</v>
      </c>
      <c r="D12" s="11" t="s">
        <v>424</v>
      </c>
      <c r="E12" s="11" t="s">
        <v>424</v>
      </c>
      <c r="F12" s="11" t="s">
        <v>424</v>
      </c>
      <c r="G12" s="11" t="s">
        <v>0</v>
      </c>
      <c r="H12" s="11" t="s">
        <v>0</v>
      </c>
      <c r="I12" s="11" t="s">
        <v>0</v>
      </c>
      <c r="J12" s="11" t="s">
        <v>0</v>
      </c>
      <c r="K12" s="11" t="s">
        <v>0</v>
      </c>
      <c r="L12" s="11" t="s">
        <v>0</v>
      </c>
      <c r="M12" s="75"/>
    </row>
    <row r="13" spans="1:14 16383:16383" x14ac:dyDescent="0.2">
      <c r="A13" s="11" t="s">
        <v>487</v>
      </c>
      <c r="B13" s="11" t="s">
        <v>407</v>
      </c>
      <c r="C13" s="11" t="s">
        <v>0</v>
      </c>
      <c r="D13" s="11" t="s">
        <v>424</v>
      </c>
      <c r="E13" s="11" t="s">
        <v>424</v>
      </c>
      <c r="F13" s="11" t="s">
        <v>424</v>
      </c>
      <c r="G13" s="11" t="s">
        <v>0</v>
      </c>
      <c r="H13" s="11" t="s">
        <v>0</v>
      </c>
      <c r="I13" s="11" t="s">
        <v>0</v>
      </c>
      <c r="J13" s="11" t="s">
        <v>0</v>
      </c>
      <c r="K13" s="11" t="s">
        <v>0</v>
      </c>
      <c r="L13" s="11" t="s">
        <v>0</v>
      </c>
      <c r="M13" s="75"/>
    </row>
    <row r="14" spans="1:14 16383:16383" x14ac:dyDescent="0.2">
      <c r="A14" s="11" t="s">
        <v>488</v>
      </c>
      <c r="B14" s="11" t="s">
        <v>408</v>
      </c>
      <c r="C14" s="11" t="s">
        <v>0</v>
      </c>
      <c r="D14" s="11" t="s">
        <v>424</v>
      </c>
      <c r="E14" s="11" t="s">
        <v>426</v>
      </c>
      <c r="F14" s="11" t="s">
        <v>424</v>
      </c>
      <c r="G14" s="11" t="s">
        <v>0</v>
      </c>
      <c r="H14" s="11" t="s">
        <v>0</v>
      </c>
      <c r="I14" s="11" t="s">
        <v>0</v>
      </c>
      <c r="J14" s="11" t="s">
        <v>0</v>
      </c>
      <c r="K14" s="11" t="s">
        <v>0</v>
      </c>
      <c r="L14" s="11" t="s">
        <v>481</v>
      </c>
      <c r="M14" s="75"/>
    </row>
    <row r="15" spans="1:14 16383:16383" x14ac:dyDescent="0.2">
      <c r="A15" s="11" t="s">
        <v>489</v>
      </c>
      <c r="B15" s="11" t="s">
        <v>403</v>
      </c>
      <c r="C15" s="11" t="s">
        <v>424</v>
      </c>
      <c r="D15" s="11" t="s">
        <v>424</v>
      </c>
      <c r="E15" s="11" t="s">
        <v>424</v>
      </c>
      <c r="F15" s="11" t="s">
        <v>424</v>
      </c>
      <c r="G15" s="11" t="s">
        <v>0</v>
      </c>
      <c r="H15" s="11" t="s">
        <v>0</v>
      </c>
      <c r="I15" s="11" t="s">
        <v>0</v>
      </c>
      <c r="J15" s="11" t="s">
        <v>0</v>
      </c>
      <c r="K15" s="11" t="s">
        <v>0</v>
      </c>
      <c r="L15" s="11" t="s">
        <v>0</v>
      </c>
      <c r="M15" s="75"/>
    </row>
    <row r="16" spans="1:14 16383:16383" x14ac:dyDescent="0.2">
      <c r="A16" s="87" t="s">
        <v>490</v>
      </c>
      <c r="B16" s="87" t="s">
        <v>408</v>
      </c>
      <c r="C16" s="87" t="s">
        <v>424</v>
      </c>
      <c r="D16" s="87" t="s">
        <v>424</v>
      </c>
      <c r="E16" s="87" t="s">
        <v>426</v>
      </c>
      <c r="F16" s="87" t="s">
        <v>424</v>
      </c>
      <c r="G16" s="87" t="s">
        <v>0</v>
      </c>
      <c r="H16" s="87" t="s">
        <v>0</v>
      </c>
      <c r="I16" s="87" t="s">
        <v>424</v>
      </c>
      <c r="J16" s="87" t="s">
        <v>0</v>
      </c>
      <c r="K16" s="87" t="s">
        <v>0</v>
      </c>
      <c r="L16" s="87" t="s">
        <v>491</v>
      </c>
      <c r="M16" s="76"/>
    </row>
    <row r="17" spans="1:13" x14ac:dyDescent="0.2">
      <c r="A17" s="87" t="s">
        <v>498</v>
      </c>
      <c r="B17" s="87" t="s">
        <v>499</v>
      </c>
      <c r="C17" s="87" t="s">
        <v>424</v>
      </c>
      <c r="D17" s="87" t="s">
        <v>424</v>
      </c>
      <c r="E17" s="87" t="s">
        <v>426</v>
      </c>
      <c r="F17" s="87" t="s">
        <v>424</v>
      </c>
      <c r="G17" s="87" t="s">
        <v>0</v>
      </c>
      <c r="H17" s="87" t="s">
        <v>0</v>
      </c>
      <c r="I17" s="87" t="s">
        <v>0</v>
      </c>
      <c r="J17" s="87" t="s">
        <v>0</v>
      </c>
      <c r="K17" s="87" t="s">
        <v>0</v>
      </c>
      <c r="L17" s="87" t="s">
        <v>500</v>
      </c>
      <c r="M17" s="76"/>
    </row>
    <row r="18" spans="1:13" x14ac:dyDescent="0.2">
      <c r="A18" s="87" t="s">
        <v>510</v>
      </c>
      <c r="B18" s="87" t="s">
        <v>499</v>
      </c>
      <c r="C18" s="87" t="s">
        <v>424</v>
      </c>
      <c r="D18" s="87" t="s">
        <v>424</v>
      </c>
      <c r="E18" s="87" t="s">
        <v>426</v>
      </c>
      <c r="F18" s="87" t="s">
        <v>424</v>
      </c>
      <c r="G18" s="87" t="s">
        <v>0</v>
      </c>
      <c r="H18" s="87" t="s">
        <v>0</v>
      </c>
      <c r="I18" s="87" t="s">
        <v>0</v>
      </c>
      <c r="J18" s="87" t="s">
        <v>0</v>
      </c>
      <c r="K18" s="87" t="s">
        <v>0</v>
      </c>
      <c r="L18" s="87" t="s">
        <v>511</v>
      </c>
      <c r="M18" s="76"/>
    </row>
    <row r="19" spans="1:13" x14ac:dyDescent="0.2">
      <c r="A19" s="87" t="s">
        <v>513</v>
      </c>
      <c r="B19" s="87" t="s">
        <v>499</v>
      </c>
      <c r="C19" s="87" t="s">
        <v>424</v>
      </c>
      <c r="D19" s="87" t="s">
        <v>424</v>
      </c>
      <c r="E19" s="87" t="s">
        <v>426</v>
      </c>
      <c r="F19" s="87" t="s">
        <v>424</v>
      </c>
      <c r="G19" s="87" t="s">
        <v>0</v>
      </c>
      <c r="H19" s="87" t="s">
        <v>0</v>
      </c>
      <c r="I19" s="87" t="s">
        <v>424</v>
      </c>
      <c r="J19" s="87" t="s">
        <v>0</v>
      </c>
      <c r="K19" s="87" t="s">
        <v>0</v>
      </c>
      <c r="L19" s="87" t="s">
        <v>514</v>
      </c>
      <c r="M19" s="76"/>
    </row>
    <row r="20" spans="1:13" x14ac:dyDescent="0.2">
      <c r="A20" s="87" t="s">
        <v>515</v>
      </c>
      <c r="B20" s="87" t="s">
        <v>405</v>
      </c>
      <c r="C20" s="87" t="s">
        <v>424</v>
      </c>
      <c r="D20" s="87" t="s">
        <v>424</v>
      </c>
      <c r="E20" s="87" t="s">
        <v>426</v>
      </c>
      <c r="F20" s="87" t="s">
        <v>424</v>
      </c>
      <c r="G20" s="87" t="s">
        <v>0</v>
      </c>
      <c r="H20" s="87" t="s">
        <v>0</v>
      </c>
      <c r="I20" s="87" t="s">
        <v>0</v>
      </c>
      <c r="J20" s="87" t="s">
        <v>0</v>
      </c>
      <c r="K20" s="87" t="s">
        <v>0</v>
      </c>
      <c r="L20" s="87" t="s">
        <v>516</v>
      </c>
      <c r="M20" s="76"/>
    </row>
    <row r="21" spans="1:13" x14ac:dyDescent="0.2">
      <c r="A21" s="87" t="s">
        <v>517</v>
      </c>
      <c r="B21" s="87" t="s">
        <v>405</v>
      </c>
      <c r="C21" s="87" t="s">
        <v>424</v>
      </c>
      <c r="D21" s="87" t="s">
        <v>424</v>
      </c>
      <c r="E21" s="87" t="s">
        <v>426</v>
      </c>
      <c r="F21" s="87" t="s">
        <v>424</v>
      </c>
      <c r="G21" s="87" t="s">
        <v>0</v>
      </c>
      <c r="H21" s="87" t="s">
        <v>0</v>
      </c>
      <c r="I21" s="87" t="s">
        <v>0</v>
      </c>
      <c r="J21" s="87" t="s">
        <v>0</v>
      </c>
      <c r="K21" s="87" t="s">
        <v>0</v>
      </c>
      <c r="L21" s="87" t="s">
        <v>516</v>
      </c>
      <c r="M21" s="76"/>
    </row>
    <row r="22" spans="1:13" x14ac:dyDescent="0.2">
      <c r="A22" s="2" t="s">
        <v>522</v>
      </c>
      <c r="B22" s="2" t="s">
        <v>403</v>
      </c>
      <c r="C22" s="2" t="s">
        <v>426</v>
      </c>
      <c r="D22" s="2" t="s">
        <v>424</v>
      </c>
      <c r="E22" s="2" t="s">
        <v>426</v>
      </c>
      <c r="F22" s="2" t="s">
        <v>424</v>
      </c>
      <c r="G22" s="2" t="s">
        <v>0</v>
      </c>
      <c r="H22" s="2" t="s">
        <v>0</v>
      </c>
      <c r="I22" s="2" t="s">
        <v>0</v>
      </c>
      <c r="J22" s="2" t="s">
        <v>0</v>
      </c>
      <c r="K22" s="2" t="s">
        <v>0</v>
      </c>
      <c r="L22" s="2" t="s">
        <v>523</v>
      </c>
    </row>
    <row r="23" spans="1:13" x14ac:dyDescent="0.2">
      <c r="A23" s="2" t="s">
        <v>524</v>
      </c>
      <c r="B23" s="2" t="s">
        <v>401</v>
      </c>
      <c r="C23" s="2" t="s">
        <v>0</v>
      </c>
      <c r="D23" s="2" t="s">
        <v>426</v>
      </c>
      <c r="E23" s="2" t="s">
        <v>0</v>
      </c>
      <c r="F23" s="2" t="s">
        <v>424</v>
      </c>
      <c r="G23" s="2" t="s">
        <v>0</v>
      </c>
      <c r="H23" s="2" t="s">
        <v>0</v>
      </c>
      <c r="I23" s="2" t="s">
        <v>0</v>
      </c>
      <c r="J23" s="2" t="s">
        <v>0</v>
      </c>
      <c r="K23" s="2" t="s">
        <v>0</v>
      </c>
      <c r="L23" s="2" t="s">
        <v>525</v>
      </c>
    </row>
    <row r="24" spans="1:13" x14ac:dyDescent="0.2">
      <c r="A24" s="2" t="s">
        <v>530</v>
      </c>
      <c r="B24" s="2" t="s">
        <v>407</v>
      </c>
      <c r="C24" s="2" t="s">
        <v>0</v>
      </c>
      <c r="D24" s="87" t="s">
        <v>424</v>
      </c>
      <c r="E24" s="2" t="s">
        <v>426</v>
      </c>
      <c r="F24" s="2" t="s">
        <v>0</v>
      </c>
      <c r="G24" s="2" t="s">
        <v>0</v>
      </c>
      <c r="H24" s="2" t="s">
        <v>0</v>
      </c>
      <c r="I24" s="2" t="s">
        <v>424</v>
      </c>
      <c r="J24" s="2" t="s">
        <v>0</v>
      </c>
      <c r="K24" s="2" t="s">
        <v>0</v>
      </c>
      <c r="L24" s="2" t="s">
        <v>531</v>
      </c>
    </row>
    <row r="25" spans="1:13" x14ac:dyDescent="0.2">
      <c r="A25" s="2" t="s">
        <v>534</v>
      </c>
      <c r="B25" s="2" t="s">
        <v>535</v>
      </c>
      <c r="C25" s="2" t="s">
        <v>424</v>
      </c>
      <c r="D25" s="2" t="s">
        <v>424</v>
      </c>
      <c r="E25" s="2" t="s">
        <v>426</v>
      </c>
      <c r="F25" s="2" t="s">
        <v>424</v>
      </c>
      <c r="G25" s="2" t="s">
        <v>0</v>
      </c>
      <c r="H25" s="2" t="s">
        <v>0</v>
      </c>
      <c r="I25" s="2" t="s">
        <v>0</v>
      </c>
      <c r="J25" s="2" t="s">
        <v>0</v>
      </c>
      <c r="K25" s="2" t="s">
        <v>0</v>
      </c>
      <c r="L25" s="2" t="s">
        <v>505</v>
      </c>
    </row>
    <row r="26" spans="1:13" x14ac:dyDescent="0.2">
      <c r="A26" s="2" t="s">
        <v>536</v>
      </c>
      <c r="B26" s="2" t="s">
        <v>403</v>
      </c>
      <c r="C26" s="2" t="s">
        <v>424</v>
      </c>
      <c r="D26" s="2" t="s">
        <v>424</v>
      </c>
      <c r="E26" s="2" t="s">
        <v>424</v>
      </c>
      <c r="F26" s="2" t="s">
        <v>424</v>
      </c>
      <c r="G26" s="2" t="s">
        <v>0</v>
      </c>
      <c r="H26" s="2" t="s">
        <v>0</v>
      </c>
      <c r="I26" s="2" t="s">
        <v>0</v>
      </c>
      <c r="J26" s="2" t="s">
        <v>0</v>
      </c>
      <c r="K26" s="2" t="s">
        <v>0</v>
      </c>
      <c r="L26" s="2" t="s">
        <v>0</v>
      </c>
    </row>
    <row r="27" spans="1:13" x14ac:dyDescent="0.2">
      <c r="A27" s="2" t="s">
        <v>538</v>
      </c>
      <c r="B27" s="2" t="s">
        <v>405</v>
      </c>
      <c r="C27" s="2" t="s">
        <v>0</v>
      </c>
      <c r="D27" s="2" t="s">
        <v>424</v>
      </c>
      <c r="E27" s="2" t="s">
        <v>426</v>
      </c>
      <c r="F27" s="2" t="s">
        <v>424</v>
      </c>
      <c r="G27" s="2" t="s">
        <v>0</v>
      </c>
      <c r="H27" s="2" t="s">
        <v>0</v>
      </c>
      <c r="I27" s="2" t="s">
        <v>424</v>
      </c>
      <c r="J27" s="2" t="s">
        <v>0</v>
      </c>
      <c r="K27" s="2" t="s">
        <v>0</v>
      </c>
      <c r="L27" s="2" t="s">
        <v>516</v>
      </c>
    </row>
    <row r="28" spans="1:13" x14ac:dyDescent="0.2">
      <c r="A28" s="2" t="s">
        <v>541</v>
      </c>
      <c r="B28" s="2" t="s">
        <v>402</v>
      </c>
      <c r="C28" s="2" t="s">
        <v>424</v>
      </c>
      <c r="D28" s="2" t="s">
        <v>424</v>
      </c>
      <c r="E28" s="2" t="s">
        <v>426</v>
      </c>
      <c r="F28" s="2" t="s">
        <v>424</v>
      </c>
      <c r="G28" s="2" t="s">
        <v>0</v>
      </c>
      <c r="H28" s="2" t="s">
        <v>0</v>
      </c>
      <c r="I28" s="2" t="s">
        <v>0</v>
      </c>
      <c r="J28" s="2" t="s">
        <v>0</v>
      </c>
      <c r="K28" s="2" t="s">
        <v>0</v>
      </c>
      <c r="L28" s="87" t="s">
        <v>481</v>
      </c>
    </row>
    <row r="29" spans="1:13" x14ac:dyDescent="0.2">
      <c r="A29" t="s">
        <v>544</v>
      </c>
      <c r="B29" t="s">
        <v>545</v>
      </c>
      <c r="C29" t="s">
        <v>0</v>
      </c>
      <c r="D29" t="s">
        <v>426</v>
      </c>
      <c r="E29" t="s">
        <v>426</v>
      </c>
      <c r="F29" t="s">
        <v>424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546</v>
      </c>
    </row>
    <row r="30" spans="1:13" x14ac:dyDescent="0.2">
      <c r="A30" t="s">
        <v>547</v>
      </c>
      <c r="B30" t="s">
        <v>405</v>
      </c>
      <c r="C30" t="s">
        <v>424</v>
      </c>
      <c r="D30" t="s">
        <v>424</v>
      </c>
      <c r="E30" t="s">
        <v>426</v>
      </c>
      <c r="F30" t="s">
        <v>424</v>
      </c>
      <c r="G30" t="s">
        <v>0</v>
      </c>
      <c r="H30" t="s">
        <v>0</v>
      </c>
      <c r="I30" t="s">
        <v>0</v>
      </c>
      <c r="J30" t="s">
        <v>0</v>
      </c>
      <c r="K30" t="s">
        <v>0</v>
      </c>
      <c r="L30" t="s">
        <v>481</v>
      </c>
    </row>
    <row r="31" spans="1:13" x14ac:dyDescent="0.2">
      <c r="A31" t="s">
        <v>550</v>
      </c>
      <c r="B31" t="s">
        <v>406</v>
      </c>
      <c r="C31" t="s">
        <v>0</v>
      </c>
      <c r="D31" t="s">
        <v>424</v>
      </c>
      <c r="E31" t="s">
        <v>426</v>
      </c>
      <c r="F31" t="s">
        <v>424</v>
      </c>
      <c r="G31" t="s">
        <v>0</v>
      </c>
      <c r="H31" t="s">
        <v>0</v>
      </c>
      <c r="I31" t="s">
        <v>0</v>
      </c>
      <c r="J31" t="s">
        <v>0</v>
      </c>
      <c r="K31" t="s">
        <v>0</v>
      </c>
      <c r="L31" t="s">
        <v>551</v>
      </c>
    </row>
    <row r="32" spans="1:13" x14ac:dyDescent="0.2">
      <c r="A32" t="s">
        <v>552</v>
      </c>
      <c r="B32" t="s">
        <v>408</v>
      </c>
      <c r="C32" t="s">
        <v>424</v>
      </c>
      <c r="D32" t="s">
        <v>424</v>
      </c>
      <c r="E32" t="s">
        <v>426</v>
      </c>
      <c r="F32" t="s">
        <v>424</v>
      </c>
      <c r="G32" t="s">
        <v>0</v>
      </c>
      <c r="H32" t="s">
        <v>0</v>
      </c>
      <c r="I32" t="s">
        <v>0</v>
      </c>
      <c r="J32" t="s">
        <v>0</v>
      </c>
      <c r="K32" t="s">
        <v>0</v>
      </c>
      <c r="L32" t="s">
        <v>481</v>
      </c>
    </row>
    <row r="33" spans="1:12" x14ac:dyDescent="0.2">
      <c r="A33" t="s">
        <v>561</v>
      </c>
      <c r="B33" t="s">
        <v>408</v>
      </c>
      <c r="C33" t="s">
        <v>424</v>
      </c>
      <c r="D33" t="s">
        <v>424</v>
      </c>
      <c r="E33" t="s">
        <v>426</v>
      </c>
      <c r="F33" t="s">
        <v>424</v>
      </c>
      <c r="G33" t="s">
        <v>0</v>
      </c>
      <c r="H33" t="s">
        <v>0</v>
      </c>
      <c r="I33" t="s">
        <v>0</v>
      </c>
      <c r="J33" t="s">
        <v>0</v>
      </c>
      <c r="K33" t="s">
        <v>0</v>
      </c>
      <c r="L33" t="s">
        <v>481</v>
      </c>
    </row>
    <row r="34" spans="1:12" x14ac:dyDescent="0.2">
      <c r="A34" t="s">
        <v>566</v>
      </c>
      <c r="B34" t="s">
        <v>407</v>
      </c>
      <c r="C34" t="s">
        <v>426</v>
      </c>
      <c r="D34" t="s">
        <v>424</v>
      </c>
      <c r="E34" t="s">
        <v>424</v>
      </c>
      <c r="F34" t="s">
        <v>424</v>
      </c>
      <c r="G34" t="s">
        <v>0</v>
      </c>
      <c r="H34" t="s">
        <v>0</v>
      </c>
      <c r="I34" t="s">
        <v>0</v>
      </c>
      <c r="J34" t="s">
        <v>0</v>
      </c>
      <c r="K34" t="s">
        <v>0</v>
      </c>
      <c r="L34" t="s">
        <v>567</v>
      </c>
    </row>
    <row r="35" spans="1:12" x14ac:dyDescent="0.2">
      <c r="A35" t="s">
        <v>572</v>
      </c>
      <c r="B35" t="s">
        <v>405</v>
      </c>
      <c r="C35" t="s">
        <v>424</v>
      </c>
      <c r="D35" t="s">
        <v>424</v>
      </c>
      <c r="E35" t="s">
        <v>426</v>
      </c>
      <c r="F35" t="s">
        <v>424</v>
      </c>
      <c r="G35" t="s">
        <v>0</v>
      </c>
      <c r="H35" t="s">
        <v>0</v>
      </c>
      <c r="I35" t="s">
        <v>0</v>
      </c>
      <c r="J35" t="s">
        <v>0</v>
      </c>
      <c r="K35" t="s">
        <v>0</v>
      </c>
      <c r="L35" t="s">
        <v>481</v>
      </c>
    </row>
    <row r="36" spans="1:12" x14ac:dyDescent="0.2">
      <c r="A36" t="s">
        <v>573</v>
      </c>
      <c r="B36" t="s">
        <v>405</v>
      </c>
      <c r="C36" t="s">
        <v>424</v>
      </c>
      <c r="D36" t="s">
        <v>424</v>
      </c>
      <c r="E36" t="s">
        <v>426</v>
      </c>
      <c r="F36" t="s">
        <v>424</v>
      </c>
      <c r="G36" t="s">
        <v>0</v>
      </c>
      <c r="H36" t="s">
        <v>0</v>
      </c>
      <c r="I36" t="s">
        <v>0</v>
      </c>
      <c r="J36" t="s">
        <v>0</v>
      </c>
      <c r="K36" t="s">
        <v>0</v>
      </c>
      <c r="L36" t="s">
        <v>481</v>
      </c>
    </row>
    <row r="37" spans="1:12" x14ac:dyDescent="0.2">
      <c r="A37" t="s">
        <v>574</v>
      </c>
      <c r="B37" t="s">
        <v>405</v>
      </c>
      <c r="C37" t="s">
        <v>424</v>
      </c>
      <c r="D37" t="s">
        <v>424</v>
      </c>
      <c r="E37" t="s">
        <v>426</v>
      </c>
      <c r="F37" t="s">
        <v>424</v>
      </c>
      <c r="G37" t="s">
        <v>0</v>
      </c>
      <c r="H37" t="s">
        <v>0</v>
      </c>
      <c r="I37" t="s">
        <v>0</v>
      </c>
      <c r="J37" t="s">
        <v>0</v>
      </c>
      <c r="K37" t="s">
        <v>0</v>
      </c>
      <c r="L37" t="s">
        <v>516</v>
      </c>
    </row>
    <row r="38" spans="1:12" x14ac:dyDescent="0.2">
      <c r="A38" t="s">
        <v>581</v>
      </c>
      <c r="B38" t="s">
        <v>405</v>
      </c>
      <c r="C38" t="s">
        <v>424</v>
      </c>
      <c r="D38" t="s">
        <v>424</v>
      </c>
      <c r="E38" t="s">
        <v>426</v>
      </c>
      <c r="F38" t="s">
        <v>424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582</v>
      </c>
    </row>
    <row r="39" spans="1:12" x14ac:dyDescent="0.2">
      <c r="A39" t="s">
        <v>583</v>
      </c>
      <c r="B39" t="s">
        <v>405</v>
      </c>
      <c r="C39" t="s">
        <v>424</v>
      </c>
      <c r="D39" t="s">
        <v>424</v>
      </c>
      <c r="E39" t="s">
        <v>426</v>
      </c>
      <c r="F39" t="s">
        <v>424</v>
      </c>
      <c r="G39" t="s">
        <v>0</v>
      </c>
      <c r="H39" t="s">
        <v>0</v>
      </c>
      <c r="I39" t="s">
        <v>0</v>
      </c>
      <c r="J39" t="s">
        <v>0</v>
      </c>
      <c r="K39" t="s">
        <v>0</v>
      </c>
      <c r="L39" t="s">
        <v>584</v>
      </c>
    </row>
    <row r="40" spans="1:12" x14ac:dyDescent="0.2">
      <c r="A40" t="s">
        <v>585</v>
      </c>
      <c r="B40" t="s">
        <v>405</v>
      </c>
      <c r="C40" t="s">
        <v>424</v>
      </c>
      <c r="D40" t="s">
        <v>424</v>
      </c>
      <c r="E40" t="s">
        <v>426</v>
      </c>
      <c r="F40" t="s">
        <v>424</v>
      </c>
      <c r="G40" t="s">
        <v>0</v>
      </c>
      <c r="H40" t="s">
        <v>0</v>
      </c>
      <c r="I40" t="s">
        <v>0</v>
      </c>
      <c r="J40" t="s">
        <v>0</v>
      </c>
      <c r="K40" t="s">
        <v>0</v>
      </c>
      <c r="L40" t="s">
        <v>586</v>
      </c>
    </row>
    <row r="41" spans="1:12" x14ac:dyDescent="0.2">
      <c r="A41" t="s">
        <v>587</v>
      </c>
      <c r="B41" t="s">
        <v>499</v>
      </c>
      <c r="C41" t="s">
        <v>0</v>
      </c>
      <c r="D41" t="s">
        <v>424</v>
      </c>
      <c r="E41" t="s">
        <v>0</v>
      </c>
      <c r="F41" t="s">
        <v>424</v>
      </c>
      <c r="G41" t="s">
        <v>0</v>
      </c>
      <c r="H41" t="s">
        <v>0</v>
      </c>
      <c r="I41" t="s">
        <v>0</v>
      </c>
      <c r="J41" t="s">
        <v>0</v>
      </c>
      <c r="K41" t="s">
        <v>0</v>
      </c>
      <c r="L41" t="s">
        <v>0</v>
      </c>
    </row>
    <row r="42" spans="1:12" x14ac:dyDescent="0.2">
      <c r="A42" t="s">
        <v>591</v>
      </c>
      <c r="B42" t="s">
        <v>403</v>
      </c>
      <c r="C42" t="s">
        <v>424</v>
      </c>
      <c r="D42" t="s">
        <v>424</v>
      </c>
      <c r="E42" t="s">
        <v>426</v>
      </c>
      <c r="F42" t="s">
        <v>424</v>
      </c>
      <c r="G42" t="s">
        <v>0</v>
      </c>
      <c r="H42" t="s">
        <v>424</v>
      </c>
      <c r="I42" t="s">
        <v>0</v>
      </c>
      <c r="J42" t="s">
        <v>0</v>
      </c>
      <c r="K42" t="s">
        <v>0</v>
      </c>
      <c r="L42" t="s">
        <v>592</v>
      </c>
    </row>
    <row r="43" spans="1:12" x14ac:dyDescent="0.2">
      <c r="A43" t="s">
        <v>594</v>
      </c>
      <c r="B43" t="s">
        <v>408</v>
      </c>
      <c r="C43" t="s">
        <v>424</v>
      </c>
      <c r="D43" t="s">
        <v>424</v>
      </c>
      <c r="E43" t="s">
        <v>424</v>
      </c>
      <c r="F43" t="s">
        <v>424</v>
      </c>
      <c r="G43" t="s">
        <v>0</v>
      </c>
      <c r="H43" t="s">
        <v>0</v>
      </c>
      <c r="I43" t="s">
        <v>0</v>
      </c>
      <c r="J43" t="s">
        <v>0</v>
      </c>
      <c r="K43" t="s">
        <v>0</v>
      </c>
      <c r="L43" t="s">
        <v>0</v>
      </c>
    </row>
    <row r="44" spans="1:12" x14ac:dyDescent="0.2">
      <c r="A44" t="s">
        <v>598</v>
      </c>
      <c r="B44" t="s">
        <v>499</v>
      </c>
      <c r="C44" t="s">
        <v>424</v>
      </c>
      <c r="D44" t="s">
        <v>424</v>
      </c>
      <c r="E44" t="s">
        <v>426</v>
      </c>
      <c r="F44" t="s">
        <v>424</v>
      </c>
      <c r="G44" t="s">
        <v>0</v>
      </c>
      <c r="H44" t="s">
        <v>0</v>
      </c>
      <c r="I44" t="s">
        <v>0</v>
      </c>
      <c r="J44" t="s">
        <v>0</v>
      </c>
      <c r="K44" t="s">
        <v>0</v>
      </c>
      <c r="L44" t="s">
        <v>599</v>
      </c>
    </row>
    <row r="45" spans="1:12" x14ac:dyDescent="0.2">
      <c r="A45" t="s">
        <v>602</v>
      </c>
      <c r="B45" t="s">
        <v>405</v>
      </c>
      <c r="C45" t="s">
        <v>424</v>
      </c>
      <c r="D45" t="s">
        <v>424</v>
      </c>
      <c r="E45" t="s">
        <v>426</v>
      </c>
      <c r="F45" t="s">
        <v>424</v>
      </c>
      <c r="G45" t="s">
        <v>0</v>
      </c>
      <c r="H45" t="s">
        <v>0</v>
      </c>
      <c r="I45" t="s">
        <v>0</v>
      </c>
      <c r="J45" t="s">
        <v>0</v>
      </c>
      <c r="K45" t="s">
        <v>0</v>
      </c>
      <c r="L45" t="s">
        <v>603</v>
      </c>
    </row>
    <row r="46" spans="1:12" x14ac:dyDescent="0.2">
      <c r="A46" t="s">
        <v>604</v>
      </c>
      <c r="B46" t="s">
        <v>405</v>
      </c>
      <c r="C46" t="s">
        <v>424</v>
      </c>
      <c r="D46" t="s">
        <v>424</v>
      </c>
      <c r="E46" t="s">
        <v>426</v>
      </c>
      <c r="F46" t="s">
        <v>424</v>
      </c>
      <c r="G46" t="s">
        <v>0</v>
      </c>
      <c r="H46" t="s">
        <v>0</v>
      </c>
      <c r="I46" t="s">
        <v>424</v>
      </c>
      <c r="J46" t="s">
        <v>0</v>
      </c>
      <c r="K46" t="s">
        <v>0</v>
      </c>
      <c r="L46" t="s">
        <v>605</v>
      </c>
    </row>
    <row r="47" spans="1:12" x14ac:dyDescent="0.2">
      <c r="A47" t="s">
        <v>606</v>
      </c>
      <c r="B47" t="s">
        <v>403</v>
      </c>
      <c r="C47" t="s">
        <v>426</v>
      </c>
      <c r="D47" t="s">
        <v>424</v>
      </c>
      <c r="E47" t="s">
        <v>424</v>
      </c>
      <c r="F47" t="s">
        <v>424</v>
      </c>
      <c r="G47" t="s">
        <v>0</v>
      </c>
      <c r="H47" t="s">
        <v>424</v>
      </c>
      <c r="I47" t="s">
        <v>0</v>
      </c>
      <c r="J47" t="s">
        <v>0</v>
      </c>
      <c r="K47" t="s">
        <v>0</v>
      </c>
      <c r="L47" t="s">
        <v>0</v>
      </c>
    </row>
    <row r="48" spans="1:12" x14ac:dyDescent="0.2">
      <c r="A48" t="s">
        <v>607</v>
      </c>
      <c r="B48" t="s">
        <v>407</v>
      </c>
      <c r="C48" t="s">
        <v>424</v>
      </c>
      <c r="D48" t="s">
        <v>424</v>
      </c>
      <c r="E48" t="s">
        <v>424</v>
      </c>
      <c r="F48" t="s">
        <v>424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</row>
    <row r="49" spans="1:12" x14ac:dyDescent="0.2">
      <c r="A49" t="s">
        <v>610</v>
      </c>
      <c r="B49" t="s">
        <v>402</v>
      </c>
      <c r="C49" t="s">
        <v>424</v>
      </c>
      <c r="D49" t="s">
        <v>424</v>
      </c>
      <c r="E49" t="s">
        <v>426</v>
      </c>
      <c r="F49" t="s">
        <v>424</v>
      </c>
      <c r="G49" t="s">
        <v>0</v>
      </c>
      <c r="H49" t="s">
        <v>0</v>
      </c>
      <c r="I49" t="s">
        <v>0</v>
      </c>
      <c r="J49" t="s">
        <v>0</v>
      </c>
      <c r="K49" t="s">
        <v>0</v>
      </c>
      <c r="L49" t="s">
        <v>505</v>
      </c>
    </row>
    <row r="50" spans="1:12" x14ac:dyDescent="0.2">
      <c r="A50" t="s">
        <v>611</v>
      </c>
      <c r="B50" t="s">
        <v>402</v>
      </c>
      <c r="C50" t="s">
        <v>0</v>
      </c>
      <c r="D50" t="s">
        <v>424</v>
      </c>
      <c r="E50" t="s">
        <v>426</v>
      </c>
      <c r="F50" t="s">
        <v>424</v>
      </c>
      <c r="G50" t="s">
        <v>0</v>
      </c>
      <c r="H50" t="s">
        <v>0</v>
      </c>
      <c r="I50" t="s">
        <v>0</v>
      </c>
      <c r="J50" t="s">
        <v>0</v>
      </c>
      <c r="K50" t="s">
        <v>0</v>
      </c>
      <c r="L50" t="s">
        <v>516</v>
      </c>
    </row>
    <row r="51" spans="1:12" x14ac:dyDescent="0.2">
      <c r="A51" t="s">
        <v>612</v>
      </c>
      <c r="B51" t="s">
        <v>403</v>
      </c>
      <c r="C51" t="s">
        <v>424</v>
      </c>
      <c r="D51" t="s">
        <v>424</v>
      </c>
      <c r="E51" t="s">
        <v>424</v>
      </c>
      <c r="F51" t="s">
        <v>424</v>
      </c>
      <c r="G51" t="s">
        <v>0</v>
      </c>
      <c r="H51" t="s">
        <v>0</v>
      </c>
      <c r="I51" t="s">
        <v>0</v>
      </c>
      <c r="J51" t="s">
        <v>0</v>
      </c>
      <c r="K51" t="s">
        <v>0</v>
      </c>
      <c r="L51" t="s">
        <v>0</v>
      </c>
    </row>
    <row r="52" spans="1:12" x14ac:dyDescent="0.2">
      <c r="A52" t="s">
        <v>614</v>
      </c>
      <c r="B52" t="s">
        <v>403</v>
      </c>
      <c r="C52" t="s">
        <v>424</v>
      </c>
      <c r="D52" t="s">
        <v>424</v>
      </c>
      <c r="E52" t="s">
        <v>424</v>
      </c>
      <c r="F52" t="s">
        <v>424</v>
      </c>
      <c r="G52" t="s">
        <v>0</v>
      </c>
      <c r="H52" t="s">
        <v>0</v>
      </c>
      <c r="I52" t="s">
        <v>0</v>
      </c>
      <c r="J52" t="s">
        <v>0</v>
      </c>
      <c r="K52" t="s">
        <v>0</v>
      </c>
      <c r="L52" t="s">
        <v>0</v>
      </c>
    </row>
    <row r="53" spans="1:12" x14ac:dyDescent="0.2">
      <c r="A53" t="s">
        <v>615</v>
      </c>
      <c r="B53" t="s">
        <v>616</v>
      </c>
      <c r="C53" t="s">
        <v>0</v>
      </c>
      <c r="D53" t="s">
        <v>424</v>
      </c>
      <c r="E53" t="s">
        <v>426</v>
      </c>
      <c r="F53" t="s">
        <v>424</v>
      </c>
      <c r="G53" t="s">
        <v>0</v>
      </c>
      <c r="H53" t="s">
        <v>0</v>
      </c>
      <c r="I53" t="s">
        <v>0</v>
      </c>
      <c r="J53" t="s">
        <v>0</v>
      </c>
      <c r="K53" t="s">
        <v>0</v>
      </c>
      <c r="L53" t="s">
        <v>521</v>
      </c>
    </row>
    <row r="54" spans="1:12" x14ac:dyDescent="0.2">
      <c r="A54" t="s">
        <v>623</v>
      </c>
      <c r="B54" t="s">
        <v>407</v>
      </c>
      <c r="C54" t="s">
        <v>424</v>
      </c>
      <c r="D54" t="s">
        <v>424</v>
      </c>
      <c r="E54" t="s">
        <v>424</v>
      </c>
      <c r="F54" t="s">
        <v>424</v>
      </c>
      <c r="G54" t="s">
        <v>0</v>
      </c>
      <c r="H54" t="s">
        <v>0</v>
      </c>
      <c r="I54" t="s">
        <v>0</v>
      </c>
      <c r="J54" t="s">
        <v>0</v>
      </c>
      <c r="K54" t="s">
        <v>0</v>
      </c>
      <c r="L54" t="s">
        <v>0</v>
      </c>
    </row>
  </sheetData>
  <dataConsolidate/>
  <conditionalFormatting sqref="D8">
    <cfRule type="cellIs" priority="24" operator="equal">
      <formula>"Yes"</formula>
    </cfRule>
  </conditionalFormatting>
  <conditionalFormatting sqref="D5">
    <cfRule type="colorScale" priority="23">
      <colorScale>
        <cfvo type="num" val="&quot;Yes&quot;"/>
        <cfvo type="max"/>
        <color rgb="FFFF0000"/>
        <color rgb="FF00B050"/>
      </colorScale>
    </cfRule>
  </conditionalFormatting>
  <conditionalFormatting sqref="A4:M8 M3 A12:M1048576 A9:B11 M9:M11">
    <cfRule type="containsText" dxfId="85" priority="16" operator="containsText" text="No">
      <formula>NOT(ISERROR(SEARCH("No",A3)))</formula>
    </cfRule>
    <cfRule type="containsText" dxfId="84" priority="17" operator="containsText" text="Yes">
      <formula>NOT(ISERROR(SEARCH("Yes",A3)))</formula>
    </cfRule>
    <cfRule type="containsText" dxfId="83" priority="19" operator="containsText" text="No">
      <formula>NOT(ISERROR(SEARCH("No",A3)))</formula>
    </cfRule>
    <cfRule type="containsText" dxfId="82" priority="20" operator="containsText" text="Yes">
      <formula>NOT(ISERROR(SEARCH("Yes",A3)))</formula>
    </cfRule>
    <cfRule type="containsText" dxfId="81" priority="21" operator="containsText" text="Yes">
      <formula>NOT(ISERROR(SEARCH("Yes",A3)))</formula>
    </cfRule>
  </conditionalFormatting>
  <conditionalFormatting sqref="A3:L3">
    <cfRule type="containsText" dxfId="80" priority="14" operator="containsText" text="No">
      <formula>NOT(ISERROR(SEARCH("No",A3)))</formula>
    </cfRule>
    <cfRule type="containsText" dxfId="79" priority="15" operator="containsText" text="Yes">
      <formula>NOT(ISERROR(SEARCH("Yes",A3)))</formula>
    </cfRule>
  </conditionalFormatting>
  <conditionalFormatting sqref="A2:L2">
    <cfRule type="containsText" dxfId="78" priority="10" operator="containsText" text="No">
      <formula>NOT(ISERROR(SEARCH("No",A2)))</formula>
    </cfRule>
    <cfRule type="containsText" dxfId="77" priority="11" operator="containsText" text="Yes">
      <formula>NOT(ISERROR(SEARCH("Yes",A2)))</formula>
    </cfRule>
  </conditionalFormatting>
  <conditionalFormatting sqref="A1:K1">
    <cfRule type="containsText" dxfId="76" priority="6" operator="containsText" text="No">
      <formula>NOT(ISERROR(SEARCH("No",A1)))</formula>
    </cfRule>
    <cfRule type="containsText" dxfId="75" priority="7" operator="containsText" text="Yes">
      <formula>NOT(ISERROR(SEARCH("Yes",A1)))</formula>
    </cfRule>
  </conditionalFormatting>
  <conditionalFormatting sqref="C9:L11">
    <cfRule type="containsText" dxfId="74" priority="1" operator="containsText" text="No">
      <formula>NOT(ISERROR(SEARCH("No",C9)))</formula>
    </cfRule>
    <cfRule type="containsText" dxfId="73" priority="2" operator="containsText" text="Yes">
      <formula>NOT(ISERROR(SEARCH("Yes",C9)))</formula>
    </cfRule>
    <cfRule type="containsText" dxfId="72" priority="3" operator="containsText" text="No">
      <formula>NOT(ISERROR(SEARCH("No",C9)))</formula>
    </cfRule>
    <cfRule type="containsText" dxfId="71" priority="4" operator="containsText" text="Yes">
      <formula>NOT(ISERROR(SEARCH("Yes",C9)))</formula>
    </cfRule>
    <cfRule type="containsText" dxfId="70" priority="5" operator="containsText" text="Yes">
      <formula>NOT(ISERROR(SEARCH("Yes",C9)))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M9"/>
  <sheetViews>
    <sheetView workbookViewId="0">
      <selection activeCell="A2" sqref="A2"/>
    </sheetView>
  </sheetViews>
  <sheetFormatPr defaultRowHeight="12.75" x14ac:dyDescent="0.2"/>
  <cols>
    <col min="1" max="1" width="9" bestFit="1" customWidth="1"/>
    <col min="2" max="2" width="22.57031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62.85546875" bestFit="1" customWidth="1"/>
  </cols>
  <sheetData>
    <row r="1" spans="1:13" x14ac:dyDescent="0.2">
      <c r="A1" s="13" t="s">
        <v>1</v>
      </c>
      <c r="B1" s="13" t="s">
        <v>8</v>
      </c>
      <c r="C1" s="14" t="s">
        <v>9</v>
      </c>
      <c r="D1" s="13" t="s">
        <v>10</v>
      </c>
      <c r="E1" s="13" t="s">
        <v>2</v>
      </c>
      <c r="F1" s="13" t="s">
        <v>428</v>
      </c>
      <c r="G1" s="13" t="s">
        <v>3</v>
      </c>
      <c r="H1" s="13" t="s">
        <v>4</v>
      </c>
      <c r="I1" s="13" t="s">
        <v>5</v>
      </c>
      <c r="J1" s="13" t="s">
        <v>6</v>
      </c>
      <c r="K1" s="13" t="s">
        <v>7</v>
      </c>
      <c r="L1" s="13" t="s">
        <v>12</v>
      </c>
    </row>
    <row r="2" spans="1:13" x14ac:dyDescent="0.2">
      <c r="A2" s="6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26"/>
    </row>
    <row r="3" spans="1:13" x14ac:dyDescent="0.2">
      <c r="A3" s="74"/>
      <c r="B3" s="11"/>
      <c r="C3" s="11"/>
      <c r="D3" s="11"/>
      <c r="E3" s="11"/>
      <c r="F3" s="11"/>
      <c r="G3" s="11"/>
      <c r="H3" s="11"/>
      <c r="I3" s="11"/>
      <c r="J3" s="11"/>
      <c r="K3" s="11"/>
      <c r="L3" s="26"/>
      <c r="M3" s="26"/>
    </row>
    <row r="4" spans="1:13" x14ac:dyDescent="0.2">
      <c r="A4" s="74"/>
      <c r="B4" s="11"/>
      <c r="C4" s="11"/>
      <c r="D4" s="11"/>
      <c r="E4" s="11"/>
      <c r="F4" s="11"/>
      <c r="G4" s="11"/>
      <c r="H4" s="11"/>
      <c r="I4" s="11"/>
      <c r="J4" s="11"/>
      <c r="K4" s="11"/>
      <c r="L4" s="26"/>
      <c r="M4" s="26"/>
    </row>
    <row r="5" spans="1:13" x14ac:dyDescent="0.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1:13" x14ac:dyDescent="0.2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x14ac:dyDescent="0.2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</row>
  </sheetData>
  <conditionalFormatting sqref="A1:M1048576">
    <cfRule type="containsText" dxfId="69" priority="1" operator="containsText" text="No">
      <formula>NOT(ISERROR(SEARCH("No",A1)))</formula>
    </cfRule>
    <cfRule type="containsText" dxfId="68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XFB20"/>
  <sheetViews>
    <sheetView workbookViewId="0">
      <selection activeCell="B9" sqref="B9"/>
    </sheetView>
  </sheetViews>
  <sheetFormatPr defaultRowHeight="12.75" x14ac:dyDescent="0.2"/>
  <cols>
    <col min="1" max="1" width="9" bestFit="1" customWidth="1"/>
    <col min="2" max="2" width="20.7109375" customWidth="1"/>
    <col min="3" max="3" width="18.42578125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89" customWidth="1"/>
  </cols>
  <sheetData>
    <row r="1" spans="1:12 16382:16382" x14ac:dyDescent="0.2">
      <c r="A1" s="13" t="s">
        <v>1</v>
      </c>
      <c r="B1" s="16" t="s">
        <v>8</v>
      </c>
      <c r="C1" s="17" t="s">
        <v>9</v>
      </c>
      <c r="D1" s="16" t="s">
        <v>10</v>
      </c>
      <c r="E1" s="16" t="s">
        <v>2</v>
      </c>
      <c r="F1" s="16" t="s">
        <v>428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2" t="s">
        <v>12</v>
      </c>
    </row>
    <row r="2" spans="1:12 16382:16382" x14ac:dyDescent="0.2">
      <c r="A2" s="68" t="s">
        <v>501</v>
      </c>
      <c r="B2" s="18" t="s">
        <v>502</v>
      </c>
      <c r="C2" s="18" t="s">
        <v>424</v>
      </c>
      <c r="D2" s="18" t="s">
        <v>424</v>
      </c>
      <c r="E2" s="18" t="s">
        <v>424</v>
      </c>
      <c r="F2" s="71" t="s">
        <v>424</v>
      </c>
      <c r="G2" s="18" t="s">
        <v>0</v>
      </c>
      <c r="H2" s="18" t="s">
        <v>0</v>
      </c>
      <c r="I2" s="18" t="s">
        <v>0</v>
      </c>
      <c r="J2" s="18" t="s">
        <v>0</v>
      </c>
      <c r="K2" s="35" t="s">
        <v>0</v>
      </c>
      <c r="L2" s="18" t="s">
        <v>0</v>
      </c>
    </row>
    <row r="3" spans="1:12 16382:16382" x14ac:dyDescent="0.2">
      <c r="A3" s="69" t="s">
        <v>503</v>
      </c>
      <c r="B3" s="18" t="s">
        <v>504</v>
      </c>
      <c r="C3" s="18" t="s">
        <v>424</v>
      </c>
      <c r="D3" s="18" t="s">
        <v>424</v>
      </c>
      <c r="E3" s="18" t="s">
        <v>426</v>
      </c>
      <c r="F3" s="18" t="s">
        <v>424</v>
      </c>
      <c r="G3" s="18" t="s">
        <v>0</v>
      </c>
      <c r="H3" s="18" t="s">
        <v>0</v>
      </c>
      <c r="I3" s="18" t="s">
        <v>0</v>
      </c>
      <c r="J3" s="18" t="s">
        <v>0</v>
      </c>
      <c r="K3" s="18" t="s">
        <v>0</v>
      </c>
      <c r="L3" s="18" t="s">
        <v>505</v>
      </c>
    </row>
    <row r="4" spans="1:12 16382:16382" x14ac:dyDescent="0.2">
      <c r="A4" s="69" t="s">
        <v>506</v>
      </c>
      <c r="B4" s="18" t="s">
        <v>507</v>
      </c>
      <c r="C4" s="18" t="s">
        <v>424</v>
      </c>
      <c r="D4" s="18" t="s">
        <v>424</v>
      </c>
      <c r="E4" s="18" t="s">
        <v>424</v>
      </c>
      <c r="F4" s="18" t="s">
        <v>424</v>
      </c>
      <c r="G4" s="18" t="s">
        <v>0</v>
      </c>
      <c r="H4" s="18" t="s">
        <v>0</v>
      </c>
      <c r="I4" s="18" t="s">
        <v>0</v>
      </c>
      <c r="J4" s="18" t="s">
        <v>0</v>
      </c>
      <c r="K4" s="18" t="s">
        <v>0</v>
      </c>
      <c r="L4" s="18" t="s">
        <v>0</v>
      </c>
    </row>
    <row r="5" spans="1:12 16382:16382" x14ac:dyDescent="0.2">
      <c r="A5" s="69" t="s">
        <v>518</v>
      </c>
      <c r="B5" s="18" t="s">
        <v>507</v>
      </c>
      <c r="C5" s="18" t="s">
        <v>424</v>
      </c>
      <c r="D5" s="18" t="s">
        <v>424</v>
      </c>
      <c r="E5" s="18" t="s">
        <v>424</v>
      </c>
      <c r="F5" s="18" t="s">
        <v>424</v>
      </c>
      <c r="G5" s="18" t="s">
        <v>0</v>
      </c>
      <c r="H5" s="18" t="s">
        <v>0</v>
      </c>
      <c r="I5" s="18" t="s">
        <v>0</v>
      </c>
      <c r="J5" s="18" t="s">
        <v>0</v>
      </c>
      <c r="K5" s="18" t="s">
        <v>0</v>
      </c>
      <c r="L5" s="18" t="s">
        <v>0</v>
      </c>
    </row>
    <row r="6" spans="1:12 16382:16382" x14ac:dyDescent="0.2">
      <c r="A6" s="23" t="s">
        <v>528</v>
      </c>
      <c r="B6" s="18" t="s">
        <v>529</v>
      </c>
      <c r="C6" s="18" t="s">
        <v>424</v>
      </c>
      <c r="D6" s="18" t="s">
        <v>424</v>
      </c>
      <c r="E6" s="18" t="s">
        <v>424</v>
      </c>
      <c r="F6" s="18" t="s">
        <v>424</v>
      </c>
      <c r="G6" s="18" t="s">
        <v>0</v>
      </c>
      <c r="H6" s="18" t="s">
        <v>0</v>
      </c>
      <c r="I6" s="18" t="s">
        <v>0</v>
      </c>
      <c r="J6" s="18" t="s">
        <v>0</v>
      </c>
      <c r="K6" s="35" t="s">
        <v>0</v>
      </c>
      <c r="L6" s="70" t="s">
        <v>0</v>
      </c>
    </row>
    <row r="7" spans="1:12 16382:16382" x14ac:dyDescent="0.2">
      <c r="A7" s="23" t="s">
        <v>537</v>
      </c>
      <c r="B7" s="18" t="s">
        <v>507</v>
      </c>
      <c r="C7" s="18" t="s">
        <v>424</v>
      </c>
      <c r="D7" s="18" t="s">
        <v>424</v>
      </c>
      <c r="E7" s="18" t="s">
        <v>424</v>
      </c>
      <c r="F7" s="18" t="s">
        <v>424</v>
      </c>
      <c r="G7" s="18" t="s">
        <v>0</v>
      </c>
      <c r="H7" s="18" t="s">
        <v>424</v>
      </c>
      <c r="I7" s="18" t="s">
        <v>424</v>
      </c>
      <c r="J7" s="18" t="s">
        <v>424</v>
      </c>
      <c r="K7" s="35" t="s">
        <v>424</v>
      </c>
      <c r="L7" s="70" t="s">
        <v>0</v>
      </c>
      <c r="XFB7" s="18"/>
    </row>
    <row r="8" spans="1:12 16382:16382" x14ac:dyDescent="0.2">
      <c r="A8" s="23" t="s">
        <v>558</v>
      </c>
      <c r="B8" s="18" t="s">
        <v>507</v>
      </c>
      <c r="C8" s="18" t="s">
        <v>424</v>
      </c>
      <c r="D8" s="18" t="s">
        <v>424</v>
      </c>
      <c r="E8" s="18" t="s">
        <v>424</v>
      </c>
      <c r="F8" s="18" t="s">
        <v>424</v>
      </c>
      <c r="G8" s="18" t="s">
        <v>0</v>
      </c>
      <c r="H8" s="18" t="s">
        <v>0</v>
      </c>
      <c r="I8" s="18" t="s">
        <v>0</v>
      </c>
      <c r="J8" s="18" t="s">
        <v>0</v>
      </c>
      <c r="K8" s="35" t="s">
        <v>0</v>
      </c>
      <c r="L8" s="70" t="s">
        <v>0</v>
      </c>
    </row>
    <row r="9" spans="1:12 16382:16382" x14ac:dyDescent="0.2">
      <c r="A9" s="25" t="s">
        <v>578</v>
      </c>
      <c r="B9" s="18" t="s">
        <v>579</v>
      </c>
      <c r="C9" s="18" t="s">
        <v>424</v>
      </c>
      <c r="D9" s="18" t="s">
        <v>424</v>
      </c>
      <c r="E9" s="18" t="s">
        <v>424</v>
      </c>
      <c r="F9" s="18" t="s">
        <v>424</v>
      </c>
      <c r="G9" s="18" t="s">
        <v>0</v>
      </c>
      <c r="H9" s="18" t="s">
        <v>0</v>
      </c>
      <c r="I9" s="18" t="s">
        <v>0</v>
      </c>
      <c r="J9" s="18" t="s">
        <v>0</v>
      </c>
      <c r="K9" s="35" t="s">
        <v>0</v>
      </c>
      <c r="L9" s="70" t="s">
        <v>0</v>
      </c>
    </row>
    <row r="10" spans="1:12 16382:16382" x14ac:dyDescent="0.2">
      <c r="A10" s="72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 16382:16382" x14ac:dyDescent="0.2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 16382:16382" x14ac:dyDescent="0.2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 16382:16382" x14ac:dyDescent="0.2">
      <c r="A13" s="26"/>
      <c r="B13" s="26"/>
      <c r="C13" s="26"/>
      <c r="D13" s="73"/>
      <c r="E13" s="26"/>
      <c r="F13" s="26"/>
      <c r="G13" s="26"/>
      <c r="H13" s="26"/>
      <c r="I13" s="26"/>
      <c r="J13" s="26"/>
      <c r="K13" s="26"/>
      <c r="L13" s="26"/>
    </row>
    <row r="14" spans="1:12 16382:16382" x14ac:dyDescent="0.2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 16382:16382" x14ac:dyDescent="0.2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 16382:16382" x14ac:dyDescent="0.2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</row>
    <row r="19" spans="1:12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0" spans="1:12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</sheetData>
  <conditionalFormatting sqref="A2:M1048576 M1">
    <cfRule type="containsText" dxfId="67" priority="3" operator="containsText" text="No">
      <formula>NOT(ISERROR(SEARCH("No",A1)))</formula>
    </cfRule>
    <cfRule type="containsText" dxfId="66" priority="4" operator="containsText" text="Yes">
      <formula>NOT(ISERROR(SEARCH("Yes",A1)))</formula>
    </cfRule>
  </conditionalFormatting>
  <conditionalFormatting sqref="A1:L1">
    <cfRule type="containsText" dxfId="65" priority="1" operator="containsText" text="No">
      <formula>NOT(ISERROR(SEARCH("No",A1)))</formula>
    </cfRule>
    <cfRule type="containsText" dxfId="64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XFC28"/>
  <sheetViews>
    <sheetView workbookViewId="0">
      <selection activeCell="C16" sqref="C16"/>
    </sheetView>
  </sheetViews>
  <sheetFormatPr defaultRowHeight="12.75" x14ac:dyDescent="0.2"/>
  <cols>
    <col min="1" max="1" width="11" bestFit="1" customWidth="1"/>
    <col min="2" max="2" width="22.5703125" bestFit="1" customWidth="1"/>
    <col min="3" max="3" width="19.2851562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152.28515625" bestFit="1" customWidth="1"/>
  </cols>
  <sheetData>
    <row r="1" spans="1:13 16383:16383" x14ac:dyDescent="0.2">
      <c r="A1" s="13" t="s">
        <v>1</v>
      </c>
      <c r="B1" s="16" t="s">
        <v>8</v>
      </c>
      <c r="C1" s="17" t="s">
        <v>9</v>
      </c>
      <c r="D1" s="16" t="s">
        <v>10</v>
      </c>
      <c r="E1" s="16" t="s">
        <v>2</v>
      </c>
      <c r="F1" s="16" t="s">
        <v>428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2" t="s">
        <v>12</v>
      </c>
    </row>
    <row r="2" spans="1:13 16383:16383" x14ac:dyDescent="0.2">
      <c r="A2" s="68" t="s">
        <v>444</v>
      </c>
      <c r="B2" s="18" t="s">
        <v>445</v>
      </c>
      <c r="C2" s="18" t="s">
        <v>0</v>
      </c>
      <c r="D2" s="18" t="s">
        <v>424</v>
      </c>
      <c r="E2" s="18" t="s">
        <v>426</v>
      </c>
      <c r="F2" s="18" t="s">
        <v>424</v>
      </c>
      <c r="G2" s="18" t="s">
        <v>0</v>
      </c>
      <c r="H2" s="18" t="s">
        <v>424</v>
      </c>
      <c r="I2" s="18" t="s">
        <v>424</v>
      </c>
      <c r="J2" s="18" t="s">
        <v>0</v>
      </c>
      <c r="K2" s="18" t="s">
        <v>0</v>
      </c>
      <c r="L2" s="18" t="s">
        <v>446</v>
      </c>
      <c r="M2" s="26"/>
    </row>
    <row r="3" spans="1:13 16383:16383" x14ac:dyDescent="0.2">
      <c r="A3" s="68" t="s">
        <v>457</v>
      </c>
      <c r="B3" s="18" t="s">
        <v>419</v>
      </c>
      <c r="C3" s="18" t="s">
        <v>424</v>
      </c>
      <c r="D3" s="18" t="s">
        <v>424</v>
      </c>
      <c r="E3" s="18" t="s">
        <v>0</v>
      </c>
      <c r="F3" s="18" t="s">
        <v>424</v>
      </c>
      <c r="G3" s="18" t="s">
        <v>0</v>
      </c>
      <c r="H3" s="18" t="s">
        <v>0</v>
      </c>
      <c r="I3" s="18" t="s">
        <v>0</v>
      </c>
      <c r="J3" s="18" t="s">
        <v>0</v>
      </c>
      <c r="K3" s="18" t="s">
        <v>0</v>
      </c>
      <c r="L3" s="18" t="s">
        <v>0</v>
      </c>
      <c r="M3" s="26"/>
      <c r="XFC3" s="18"/>
    </row>
    <row r="4" spans="1:13 16383:16383" x14ac:dyDescent="0.2">
      <c r="A4" s="18" t="s">
        <v>464</v>
      </c>
      <c r="B4" s="18" t="s">
        <v>416</v>
      </c>
      <c r="C4" s="18" t="s">
        <v>0</v>
      </c>
      <c r="D4" s="18" t="s">
        <v>426</v>
      </c>
      <c r="E4" s="18" t="s">
        <v>426</v>
      </c>
      <c r="F4" s="18" t="s">
        <v>424</v>
      </c>
      <c r="G4" s="18" t="s">
        <v>0</v>
      </c>
      <c r="H4" s="18" t="s">
        <v>424</v>
      </c>
      <c r="I4" s="18" t="s">
        <v>0</v>
      </c>
      <c r="J4" s="18" t="s">
        <v>0</v>
      </c>
      <c r="K4" s="18" t="s">
        <v>0</v>
      </c>
      <c r="L4" s="18" t="s">
        <v>465</v>
      </c>
      <c r="M4" s="26"/>
    </row>
    <row r="5" spans="1:13 16383:16383" x14ac:dyDescent="0.2">
      <c r="A5" s="18" t="s">
        <v>466</v>
      </c>
      <c r="B5" s="18" t="s">
        <v>467</v>
      </c>
      <c r="C5" s="33" t="s">
        <v>426</v>
      </c>
      <c r="D5" s="33" t="s">
        <v>424</v>
      </c>
      <c r="E5" s="18" t="s">
        <v>426</v>
      </c>
      <c r="F5" s="18" t="s">
        <v>0</v>
      </c>
      <c r="G5" s="18" t="s">
        <v>0</v>
      </c>
      <c r="H5" s="18" t="s">
        <v>424</v>
      </c>
      <c r="I5" s="18" t="s">
        <v>0</v>
      </c>
      <c r="J5" s="18" t="s">
        <v>0</v>
      </c>
      <c r="K5" s="18" t="s">
        <v>0</v>
      </c>
      <c r="L5" s="18" t="s">
        <v>468</v>
      </c>
      <c r="M5" s="26"/>
    </row>
    <row r="6" spans="1:13 16383:16383" x14ac:dyDescent="0.2">
      <c r="A6" s="68" t="s">
        <v>470</v>
      </c>
      <c r="B6" s="18" t="s">
        <v>421</v>
      </c>
      <c r="C6" s="33" t="s">
        <v>424</v>
      </c>
      <c r="D6" s="33" t="s">
        <v>426</v>
      </c>
      <c r="E6" s="18" t="s">
        <v>424</v>
      </c>
      <c r="F6" s="18" t="s">
        <v>424</v>
      </c>
      <c r="G6" s="18" t="s">
        <v>0</v>
      </c>
      <c r="H6" s="18" t="s">
        <v>0</v>
      </c>
      <c r="I6" s="18" t="s">
        <v>0</v>
      </c>
      <c r="J6" s="18" t="s">
        <v>0</v>
      </c>
      <c r="K6" s="18" t="s">
        <v>0</v>
      </c>
      <c r="L6" s="18" t="s">
        <v>471</v>
      </c>
      <c r="M6" s="26"/>
    </row>
    <row r="7" spans="1:13 16383:16383" x14ac:dyDescent="0.2">
      <c r="A7" s="68" t="s">
        <v>472</v>
      </c>
      <c r="B7" s="18" t="s">
        <v>473</v>
      </c>
      <c r="C7" s="33" t="s">
        <v>424</v>
      </c>
      <c r="D7" s="33" t="s">
        <v>424</v>
      </c>
      <c r="E7" s="33" t="s">
        <v>426</v>
      </c>
      <c r="F7" s="18" t="s">
        <v>0</v>
      </c>
      <c r="G7" s="18" t="s">
        <v>0</v>
      </c>
      <c r="H7" s="18" t="s">
        <v>0</v>
      </c>
      <c r="I7" s="18" t="s">
        <v>0</v>
      </c>
      <c r="J7" s="18" t="s">
        <v>0</v>
      </c>
      <c r="K7" s="18" t="s">
        <v>0</v>
      </c>
      <c r="L7" s="18" t="s">
        <v>474</v>
      </c>
      <c r="M7" s="26"/>
    </row>
    <row r="8" spans="1:13 16383:16383" x14ac:dyDescent="0.2">
      <c r="A8" s="68" t="s">
        <v>475</v>
      </c>
      <c r="B8" s="18" t="s">
        <v>419</v>
      </c>
      <c r="C8" s="33" t="s">
        <v>424</v>
      </c>
      <c r="D8" s="33" t="s">
        <v>424</v>
      </c>
      <c r="E8" s="18" t="s">
        <v>426</v>
      </c>
      <c r="F8" s="18" t="s">
        <v>424</v>
      </c>
      <c r="G8" s="18" t="s">
        <v>0</v>
      </c>
      <c r="H8" s="18" t="s">
        <v>424</v>
      </c>
      <c r="I8" s="18" t="s">
        <v>0</v>
      </c>
      <c r="J8" s="18" t="s">
        <v>0</v>
      </c>
      <c r="K8" s="18" t="s">
        <v>0</v>
      </c>
      <c r="L8" s="18" t="s">
        <v>476</v>
      </c>
      <c r="M8" s="26"/>
    </row>
    <row r="9" spans="1:13 16383:16383" ht="12.75" customHeight="1" x14ac:dyDescent="0.2">
      <c r="A9" s="23" t="s">
        <v>480</v>
      </c>
      <c r="B9" s="18" t="s">
        <v>413</v>
      </c>
      <c r="C9" s="18" t="s">
        <v>424</v>
      </c>
      <c r="D9" s="18" t="s">
        <v>424</v>
      </c>
      <c r="E9" s="18" t="s">
        <v>426</v>
      </c>
      <c r="F9" s="18" t="s">
        <v>424</v>
      </c>
      <c r="G9" s="18" t="s">
        <v>0</v>
      </c>
      <c r="H9" s="18" t="s">
        <v>0</v>
      </c>
      <c r="I9" s="18" t="s">
        <v>0</v>
      </c>
      <c r="J9" s="18" t="s">
        <v>0</v>
      </c>
      <c r="K9" s="18" t="s">
        <v>0</v>
      </c>
      <c r="L9" s="18" t="s">
        <v>481</v>
      </c>
      <c r="M9" s="26"/>
    </row>
    <row r="10" spans="1:13 16383:16383" x14ac:dyDescent="0.2">
      <c r="A10" s="23" t="s">
        <v>482</v>
      </c>
      <c r="B10" s="18" t="s">
        <v>414</v>
      </c>
      <c r="C10" s="18" t="s">
        <v>0</v>
      </c>
      <c r="D10" s="18" t="s">
        <v>424</v>
      </c>
      <c r="E10" s="18" t="s">
        <v>426</v>
      </c>
      <c r="F10" s="18" t="s">
        <v>424</v>
      </c>
      <c r="G10" s="18" t="s">
        <v>424</v>
      </c>
      <c r="H10" s="18" t="s">
        <v>0</v>
      </c>
      <c r="I10" s="18" t="s">
        <v>0</v>
      </c>
      <c r="J10" s="18" t="s">
        <v>0</v>
      </c>
      <c r="K10" s="18" t="s">
        <v>0</v>
      </c>
      <c r="L10" s="18" t="s">
        <v>483</v>
      </c>
      <c r="M10" s="26"/>
      <c r="XFC10" s="18" t="s">
        <v>0</v>
      </c>
    </row>
    <row r="11" spans="1:13 16383:16383" x14ac:dyDescent="0.2">
      <c r="A11" s="69" t="s">
        <v>484</v>
      </c>
      <c r="B11" s="18" t="s">
        <v>412</v>
      </c>
      <c r="C11" s="18" t="s">
        <v>0</v>
      </c>
      <c r="D11" s="18" t="s">
        <v>424</v>
      </c>
      <c r="E11" s="18" t="s">
        <v>426</v>
      </c>
      <c r="F11" s="18" t="s">
        <v>424</v>
      </c>
      <c r="G11" s="18" t="s">
        <v>0</v>
      </c>
      <c r="H11" s="18" t="s">
        <v>426</v>
      </c>
      <c r="I11" s="18" t="s">
        <v>0</v>
      </c>
      <c r="J11" s="18" t="s">
        <v>0</v>
      </c>
      <c r="K11" s="18" t="s">
        <v>0</v>
      </c>
      <c r="L11" s="18" t="s">
        <v>485</v>
      </c>
      <c r="M11" s="26"/>
    </row>
    <row r="12" spans="1:13 16383:16383" x14ac:dyDescent="0.2">
      <c r="A12" s="69" t="s">
        <v>508</v>
      </c>
      <c r="B12" s="18" t="s">
        <v>412</v>
      </c>
      <c r="C12" s="18" t="s">
        <v>424</v>
      </c>
      <c r="D12" s="18" t="s">
        <v>424</v>
      </c>
      <c r="E12" s="18" t="s">
        <v>426</v>
      </c>
      <c r="F12" s="18" t="s">
        <v>424</v>
      </c>
      <c r="G12" s="18" t="s">
        <v>424</v>
      </c>
      <c r="H12" s="18" t="s">
        <v>0</v>
      </c>
      <c r="I12" s="18" t="s">
        <v>0</v>
      </c>
      <c r="J12" s="18" t="s">
        <v>0</v>
      </c>
      <c r="K12" s="18" t="s">
        <v>0</v>
      </c>
      <c r="L12" s="18" t="s">
        <v>509</v>
      </c>
      <c r="M12" s="26"/>
    </row>
    <row r="13" spans="1:13 16383:16383" x14ac:dyDescent="0.2">
      <c r="A13" s="69" t="s">
        <v>512</v>
      </c>
      <c r="B13" s="18" t="s">
        <v>417</v>
      </c>
      <c r="C13" s="18" t="s">
        <v>424</v>
      </c>
      <c r="D13" s="18" t="s">
        <v>424</v>
      </c>
      <c r="E13" s="18" t="s">
        <v>424</v>
      </c>
      <c r="F13" s="18" t="s">
        <v>424</v>
      </c>
      <c r="G13" s="18" t="s">
        <v>424</v>
      </c>
      <c r="H13" s="18" t="s">
        <v>424</v>
      </c>
      <c r="I13" s="18" t="s">
        <v>0</v>
      </c>
      <c r="J13" s="18" t="s">
        <v>0</v>
      </c>
      <c r="K13" s="18" t="s">
        <v>0</v>
      </c>
      <c r="L13" s="18" t="s">
        <v>0</v>
      </c>
      <c r="M13" s="26"/>
    </row>
    <row r="14" spans="1:13 16383:16383" x14ac:dyDescent="0.2">
      <c r="A14" s="23" t="s">
        <v>540</v>
      </c>
      <c r="B14" s="18" t="s">
        <v>412</v>
      </c>
      <c r="C14" s="18" t="s">
        <v>424</v>
      </c>
      <c r="D14" s="18" t="s">
        <v>424</v>
      </c>
      <c r="E14" s="18" t="s">
        <v>424</v>
      </c>
      <c r="F14" s="18" t="s">
        <v>424</v>
      </c>
      <c r="G14" s="18" t="s">
        <v>0</v>
      </c>
      <c r="H14" s="18" t="s">
        <v>0</v>
      </c>
      <c r="I14" s="18" t="s">
        <v>0</v>
      </c>
      <c r="J14" s="18" t="s">
        <v>0</v>
      </c>
      <c r="K14" s="18" t="s">
        <v>0</v>
      </c>
      <c r="L14" s="18" t="s">
        <v>0</v>
      </c>
      <c r="M14" s="26"/>
    </row>
    <row r="15" spans="1:13 16383:16383" x14ac:dyDescent="0.2">
      <c r="A15" s="23" t="s">
        <v>554</v>
      </c>
      <c r="B15" s="18" t="s">
        <v>420</v>
      </c>
      <c r="C15" s="18" t="s">
        <v>424</v>
      </c>
      <c r="D15" s="18" t="s">
        <v>424</v>
      </c>
      <c r="E15" s="18" t="s">
        <v>424</v>
      </c>
      <c r="F15" s="18" t="s">
        <v>424</v>
      </c>
      <c r="G15" s="18" t="s">
        <v>0</v>
      </c>
      <c r="H15" s="18" t="s">
        <v>0</v>
      </c>
      <c r="I15" s="18" t="s">
        <v>0</v>
      </c>
      <c r="J15" s="18" t="s">
        <v>0</v>
      </c>
      <c r="K15" s="18" t="s">
        <v>0</v>
      </c>
      <c r="L15" s="18" t="s">
        <v>0</v>
      </c>
      <c r="M15" s="26"/>
    </row>
    <row r="16" spans="1:13 16383:16383" x14ac:dyDescent="0.2">
      <c r="A16" s="23" t="s">
        <v>570</v>
      </c>
      <c r="B16" s="18" t="s">
        <v>416</v>
      </c>
      <c r="C16" s="18" t="s">
        <v>424</v>
      </c>
      <c r="D16" s="18" t="s">
        <v>424</v>
      </c>
      <c r="E16" s="18" t="s">
        <v>426</v>
      </c>
      <c r="F16" s="18" t="s">
        <v>0</v>
      </c>
      <c r="G16" s="18" t="s">
        <v>0</v>
      </c>
      <c r="H16" s="18" t="s">
        <v>0</v>
      </c>
      <c r="I16" s="18" t="s">
        <v>0</v>
      </c>
      <c r="J16" s="18" t="s">
        <v>0</v>
      </c>
      <c r="K16" s="18" t="s">
        <v>0</v>
      </c>
      <c r="L16" s="18" t="s">
        <v>0</v>
      </c>
      <c r="M16" s="26"/>
    </row>
    <row r="17" spans="1:13" x14ac:dyDescent="0.2">
      <c r="A17" s="23" t="s">
        <v>575</v>
      </c>
      <c r="B17" s="18" t="s">
        <v>416</v>
      </c>
      <c r="C17" s="18" t="s">
        <v>0</v>
      </c>
      <c r="D17" s="18" t="s">
        <v>424</v>
      </c>
      <c r="E17" s="18" t="s">
        <v>0</v>
      </c>
      <c r="F17" s="18" t="s">
        <v>424</v>
      </c>
      <c r="G17" s="18" t="s">
        <v>0</v>
      </c>
      <c r="H17" s="18" t="s">
        <v>0</v>
      </c>
      <c r="I17" s="18" t="s">
        <v>0</v>
      </c>
      <c r="J17" s="18" t="s">
        <v>0</v>
      </c>
      <c r="K17" s="18" t="s">
        <v>0</v>
      </c>
      <c r="L17" s="18" t="s">
        <v>0</v>
      </c>
      <c r="M17" s="26"/>
    </row>
    <row r="18" spans="1:13" x14ac:dyDescent="0.2">
      <c r="A18" s="25" t="s">
        <v>576</v>
      </c>
      <c r="B18" s="18" t="s">
        <v>416</v>
      </c>
      <c r="C18" s="18" t="s">
        <v>426</v>
      </c>
      <c r="D18" s="18" t="s">
        <v>424</v>
      </c>
      <c r="E18" s="18" t="s">
        <v>0</v>
      </c>
      <c r="F18" s="18" t="s">
        <v>424</v>
      </c>
      <c r="G18" s="18" t="s">
        <v>0</v>
      </c>
      <c r="H18" s="18" t="s">
        <v>0</v>
      </c>
      <c r="I18" s="18" t="s">
        <v>0</v>
      </c>
      <c r="J18" s="18" t="s">
        <v>0</v>
      </c>
      <c r="K18" s="18" t="s">
        <v>0</v>
      </c>
      <c r="L18" s="18" t="s">
        <v>577</v>
      </c>
      <c r="M18" s="26"/>
    </row>
    <row r="19" spans="1:13" x14ac:dyDescent="0.2">
      <c r="A19" s="25" t="s">
        <v>593</v>
      </c>
      <c r="B19" s="18" t="s">
        <v>445</v>
      </c>
      <c r="C19" s="18" t="s">
        <v>424</v>
      </c>
      <c r="D19" s="18" t="s">
        <v>424</v>
      </c>
      <c r="E19" s="18" t="s">
        <v>0</v>
      </c>
      <c r="F19" s="18" t="s">
        <v>424</v>
      </c>
      <c r="G19" s="18" t="s">
        <v>0</v>
      </c>
      <c r="H19" s="18" t="s">
        <v>0</v>
      </c>
      <c r="I19" s="18" t="s">
        <v>0</v>
      </c>
      <c r="J19" s="18" t="s">
        <v>0</v>
      </c>
      <c r="K19" s="18" t="s">
        <v>0</v>
      </c>
      <c r="L19" s="18" t="s">
        <v>0</v>
      </c>
      <c r="M19" s="26"/>
    </row>
    <row r="20" spans="1:13" x14ac:dyDescent="0.2">
      <c r="A20" s="25" t="s">
        <v>596</v>
      </c>
      <c r="B20" s="18" t="s">
        <v>413</v>
      </c>
      <c r="C20" s="18" t="s">
        <v>424</v>
      </c>
      <c r="D20" s="18" t="s">
        <v>424</v>
      </c>
      <c r="E20" s="18" t="s">
        <v>426</v>
      </c>
      <c r="F20" s="18" t="s">
        <v>424</v>
      </c>
      <c r="G20" s="18" t="s">
        <v>0</v>
      </c>
      <c r="H20" s="18" t="s">
        <v>0</v>
      </c>
      <c r="I20" s="18" t="s">
        <v>0</v>
      </c>
      <c r="J20" s="18" t="s">
        <v>0</v>
      </c>
      <c r="K20" s="18" t="s">
        <v>0</v>
      </c>
      <c r="L20" s="18" t="s">
        <v>597</v>
      </c>
      <c r="M20" s="26"/>
    </row>
    <row r="21" spans="1:13" x14ac:dyDescent="0.2">
      <c r="A21" s="70" t="s">
        <v>620</v>
      </c>
      <c r="B21" s="70" t="s">
        <v>420</v>
      </c>
      <c r="C21" s="70" t="s">
        <v>424</v>
      </c>
      <c r="D21" s="18" t="s">
        <v>424</v>
      </c>
      <c r="E21" s="29" t="s">
        <v>426</v>
      </c>
      <c r="F21" s="29" t="s">
        <v>424</v>
      </c>
      <c r="G21" s="29" t="s">
        <v>0</v>
      </c>
      <c r="H21" s="29" t="s">
        <v>0</v>
      </c>
      <c r="I21" s="29" t="s">
        <v>0</v>
      </c>
      <c r="J21" s="29" t="s">
        <v>0</v>
      </c>
      <c r="K21" s="29" t="s">
        <v>0</v>
      </c>
      <c r="L21" s="29" t="s">
        <v>621</v>
      </c>
      <c r="M21" s="26"/>
    </row>
    <row r="22" spans="1:13" x14ac:dyDescent="0.2">
      <c r="A22" s="26" t="s">
        <v>624</v>
      </c>
      <c r="B22" s="26" t="s">
        <v>467</v>
      </c>
      <c r="C22" s="26" t="s">
        <v>0</v>
      </c>
      <c r="D22" s="26" t="s">
        <v>424</v>
      </c>
      <c r="E22" s="26" t="s">
        <v>424</v>
      </c>
      <c r="F22" s="26" t="s">
        <v>424</v>
      </c>
      <c r="G22" s="26" t="s">
        <v>0</v>
      </c>
      <c r="H22" s="26" t="s">
        <v>0</v>
      </c>
      <c r="I22" s="26" t="s">
        <v>0</v>
      </c>
      <c r="J22" s="26" t="s">
        <v>0</v>
      </c>
      <c r="K22" s="26" t="s">
        <v>0</v>
      </c>
      <c r="L22" s="26" t="s">
        <v>0</v>
      </c>
      <c r="M22" s="26"/>
    </row>
    <row r="23" spans="1:13" ht="16.5" x14ac:dyDescent="0.25">
      <c r="A23" s="26" t="s">
        <v>626</v>
      </c>
      <c r="B23" s="77" t="s">
        <v>421</v>
      </c>
      <c r="C23" s="26" t="s">
        <v>424</v>
      </c>
      <c r="D23" s="26" t="s">
        <v>424</v>
      </c>
      <c r="E23" s="26" t="s">
        <v>424</v>
      </c>
      <c r="F23" s="26" t="s">
        <v>424</v>
      </c>
      <c r="G23" s="26" t="s">
        <v>0</v>
      </c>
      <c r="H23" s="26" t="s">
        <v>0</v>
      </c>
      <c r="I23" s="26" t="s">
        <v>0</v>
      </c>
      <c r="J23" s="26" t="s">
        <v>0</v>
      </c>
      <c r="K23" s="26" t="s">
        <v>0</v>
      </c>
      <c r="L23" s="26" t="s">
        <v>0</v>
      </c>
      <c r="M23" s="26"/>
    </row>
    <row r="24" spans="1:13" ht="22.5" customHeight="1" x14ac:dyDescent="0.2">
      <c r="A24" s="26"/>
      <c r="B24" s="68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</row>
    <row r="26" spans="1:13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</row>
    <row r="27" spans="1:13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</row>
    <row r="28" spans="1:13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</sheetData>
  <conditionalFormatting sqref="A2:M4 M1 A23 C23:M23 A6:M8 A24:M1048576 B5:M5 A11:M22 M9:M10">
    <cfRule type="containsText" dxfId="63" priority="7" operator="containsText" text="No">
      <formula>NOT(ISERROR(SEARCH("No",A1)))</formula>
    </cfRule>
    <cfRule type="containsText" dxfId="62" priority="8" operator="containsText" text="Yes">
      <formula>NOT(ISERROR(SEARCH("Yes",A1)))</formula>
    </cfRule>
  </conditionalFormatting>
  <conditionalFormatting sqref="A1:L1">
    <cfRule type="containsText" dxfId="61" priority="5" operator="containsText" text="No">
      <formula>NOT(ISERROR(SEARCH("No",A1)))</formula>
    </cfRule>
    <cfRule type="containsText" dxfId="60" priority="6" operator="containsText" text="Yes">
      <formula>NOT(ISERROR(SEARCH("Yes",A1)))</formula>
    </cfRule>
  </conditionalFormatting>
  <conditionalFormatting sqref="A5">
    <cfRule type="containsText" dxfId="59" priority="3" operator="containsText" text="No">
      <formula>NOT(ISERROR(SEARCH("No",A5)))</formula>
    </cfRule>
    <cfRule type="containsText" dxfId="58" priority="4" operator="containsText" text="Yes">
      <formula>NOT(ISERROR(SEARCH("Yes",A5)))</formula>
    </cfRule>
  </conditionalFormatting>
  <conditionalFormatting sqref="A9:L10">
    <cfRule type="containsText" dxfId="57" priority="1" operator="containsText" text="No">
      <formula>NOT(ISERROR(SEARCH("No",A9)))</formula>
    </cfRule>
    <cfRule type="containsText" dxfId="56" priority="2" operator="containsText" text="Yes">
      <formula>NOT(ISERROR(SEARCH("Yes",A9)))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39997558519241921"/>
  </sheetPr>
  <dimension ref="A1:N21"/>
  <sheetViews>
    <sheetView workbookViewId="0">
      <selection activeCell="A2" sqref="A2"/>
    </sheetView>
  </sheetViews>
  <sheetFormatPr defaultRowHeight="12.75" x14ac:dyDescent="0.2"/>
  <cols>
    <col min="2" max="2" width="20.85546875" bestFit="1" customWidth="1"/>
    <col min="3" max="3" width="20.85546875" customWidth="1"/>
    <col min="4" max="4" width="10.7109375" bestFit="1" customWidth="1"/>
    <col min="5" max="5" width="31.28515625" bestFit="1" customWidth="1"/>
    <col min="6" max="6" width="30.140625" bestFit="1" customWidth="1"/>
    <col min="7" max="7" width="40.28515625" bestFit="1" customWidth="1"/>
    <col min="8" max="8" width="16.28515625" bestFit="1" customWidth="1"/>
    <col min="9" max="9" width="37.140625" bestFit="1" customWidth="1"/>
    <col min="10" max="10" width="15.140625" bestFit="1" customWidth="1"/>
    <col min="11" max="11" width="12.5703125" bestFit="1" customWidth="1"/>
    <col min="12" max="12" width="34.28515625" bestFit="1" customWidth="1"/>
    <col min="13" max="13" width="14.42578125" bestFit="1" customWidth="1"/>
    <col min="14" max="14" width="165" bestFit="1" customWidth="1"/>
  </cols>
  <sheetData>
    <row r="1" spans="1:14" s="2" customFormat="1" x14ac:dyDescent="0.2">
      <c r="A1" s="7" t="s">
        <v>1</v>
      </c>
      <c r="B1" s="8" t="s">
        <v>8</v>
      </c>
      <c r="C1" s="8" t="s">
        <v>14</v>
      </c>
      <c r="D1" s="5" t="s">
        <v>9</v>
      </c>
      <c r="E1" s="8" t="s">
        <v>10</v>
      </c>
      <c r="F1" s="8" t="s">
        <v>2</v>
      </c>
      <c r="G1" s="8" t="s">
        <v>428</v>
      </c>
      <c r="H1" s="8" t="s">
        <v>3</v>
      </c>
      <c r="I1" s="8" t="s">
        <v>4</v>
      </c>
      <c r="J1" s="8" t="s">
        <v>5</v>
      </c>
      <c r="K1" s="8" t="s">
        <v>6</v>
      </c>
      <c r="L1" s="8" t="s">
        <v>7</v>
      </c>
      <c r="M1" s="8" t="s">
        <v>11</v>
      </c>
      <c r="N1" s="9" t="s">
        <v>12</v>
      </c>
    </row>
    <row r="2" spans="1:14" x14ac:dyDescent="0.2">
      <c r="A2" s="25"/>
      <c r="B2" s="19"/>
      <c r="C2" s="21"/>
      <c r="D2" s="20"/>
      <c r="E2" s="18"/>
      <c r="F2" s="20"/>
      <c r="G2" s="20"/>
      <c r="H2" s="20"/>
      <c r="I2" s="20"/>
      <c r="J2" s="20"/>
      <c r="K2" s="20"/>
      <c r="L2" s="20"/>
      <c r="M2" s="20"/>
      <c r="N2" s="20"/>
    </row>
    <row r="3" spans="1:14" x14ac:dyDescent="0.2">
      <c r="A3" s="25"/>
      <c r="B3" s="19"/>
      <c r="C3" s="21"/>
      <c r="D3" s="20"/>
      <c r="E3" s="18"/>
      <c r="F3" s="20"/>
      <c r="G3" s="20"/>
      <c r="H3" s="20"/>
      <c r="I3" s="20"/>
      <c r="J3" s="20"/>
      <c r="K3" s="20"/>
      <c r="L3" s="20"/>
      <c r="M3" s="20"/>
      <c r="N3" s="20"/>
    </row>
    <row r="4" spans="1:14" x14ac:dyDescent="0.2">
      <c r="A4" s="25"/>
      <c r="B4" s="19"/>
      <c r="C4" s="21"/>
      <c r="D4" s="20"/>
      <c r="E4" s="18"/>
      <c r="F4" s="20"/>
      <c r="G4" s="20"/>
      <c r="H4" s="20"/>
      <c r="I4" s="20"/>
      <c r="J4" s="20"/>
      <c r="K4" s="20"/>
      <c r="L4" s="20"/>
      <c r="M4" s="20"/>
      <c r="N4" s="20"/>
    </row>
    <row r="5" spans="1:14" x14ac:dyDescent="0.2">
      <c r="A5" s="25"/>
      <c r="B5" s="19"/>
      <c r="C5" s="21"/>
      <c r="D5" s="20"/>
      <c r="E5" s="18"/>
      <c r="F5" s="20"/>
      <c r="G5" s="20"/>
      <c r="H5" s="20"/>
      <c r="I5" s="20"/>
      <c r="J5" s="20"/>
      <c r="K5" s="20"/>
      <c r="L5" s="20"/>
      <c r="M5" s="20"/>
      <c r="N5" s="20"/>
    </row>
    <row r="6" spans="1:14" x14ac:dyDescent="0.2">
      <c r="A6" s="25"/>
      <c r="B6" s="19"/>
      <c r="C6" s="21"/>
      <c r="D6" s="20"/>
      <c r="E6" s="18"/>
      <c r="F6" s="20"/>
      <c r="G6" s="20"/>
      <c r="H6" s="20"/>
      <c r="I6" s="20"/>
      <c r="J6" s="20"/>
      <c r="K6" s="20"/>
      <c r="L6" s="20"/>
      <c r="M6" s="20"/>
      <c r="N6" s="20"/>
    </row>
    <row r="7" spans="1:14" x14ac:dyDescent="0.2">
      <c r="A7" s="25"/>
      <c r="B7" s="19"/>
      <c r="C7" s="21"/>
      <c r="D7" s="20"/>
      <c r="E7" s="18"/>
      <c r="F7" s="20"/>
      <c r="G7" s="20"/>
      <c r="H7" s="20"/>
      <c r="I7" s="20"/>
      <c r="J7" s="20"/>
      <c r="K7" s="20"/>
      <c r="L7" s="20"/>
      <c r="M7" s="20"/>
      <c r="N7" s="20"/>
    </row>
    <row r="8" spans="1:14" x14ac:dyDescent="0.2">
      <c r="A8" s="1"/>
    </row>
    <row r="9" spans="1:14" x14ac:dyDescent="0.2">
      <c r="A9" s="1"/>
    </row>
    <row r="10" spans="1:14" ht="12.75" customHeight="1" x14ac:dyDescent="0.2">
      <c r="A10" s="6"/>
      <c r="B10" s="6"/>
      <c r="C10" s="6"/>
      <c r="D10" s="6"/>
      <c r="E10" s="6"/>
    </row>
    <row r="11" spans="1:14" x14ac:dyDescent="0.2">
      <c r="A11" s="6"/>
      <c r="B11" s="6"/>
      <c r="C11" s="6"/>
      <c r="D11" s="6"/>
      <c r="E11" s="6"/>
    </row>
    <row r="12" spans="1:14" x14ac:dyDescent="0.2">
      <c r="A12" s="6"/>
      <c r="B12" s="6"/>
      <c r="C12" s="6"/>
      <c r="D12" s="6"/>
      <c r="E12" s="6"/>
    </row>
    <row r="21" ht="22.5" customHeight="1" x14ac:dyDescent="0.2"/>
  </sheetData>
  <conditionalFormatting sqref="A1:M1048576">
    <cfRule type="containsText" dxfId="55" priority="1" operator="containsText" text="No">
      <formula>NOT(ISERROR(SEARCH("No",A1)))</formula>
    </cfRule>
    <cfRule type="containsText" dxfId="54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L27"/>
  <sheetViews>
    <sheetView workbookViewId="0">
      <selection activeCell="A2" sqref="A2"/>
    </sheetView>
  </sheetViews>
  <sheetFormatPr defaultRowHeight="12.75" x14ac:dyDescent="0.2"/>
  <cols>
    <col min="2" max="2" width="22.1406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style="26" bestFit="1" customWidth="1"/>
    <col min="10" max="10" width="12.5703125" style="26" bestFit="1" customWidth="1"/>
    <col min="11" max="11" width="20.85546875" style="26" customWidth="1"/>
    <col min="12" max="12" width="171.5703125" style="26" customWidth="1"/>
    <col min="13" max="16384" width="9.140625" style="26"/>
  </cols>
  <sheetData>
    <row r="1" spans="1:12" s="2" customFormat="1" x14ac:dyDescent="0.2">
      <c r="A1" s="13" t="s">
        <v>1</v>
      </c>
      <c r="B1" s="13" t="s">
        <v>8</v>
      </c>
      <c r="C1" s="14" t="s">
        <v>9</v>
      </c>
      <c r="D1" s="13" t="s">
        <v>10</v>
      </c>
      <c r="E1" s="13" t="s">
        <v>2</v>
      </c>
      <c r="F1" s="8" t="s">
        <v>428</v>
      </c>
      <c r="G1" s="8" t="s">
        <v>3</v>
      </c>
      <c r="H1" s="8" t="s">
        <v>4</v>
      </c>
      <c r="I1" s="8" t="s">
        <v>5</v>
      </c>
      <c r="J1" s="8" t="s">
        <v>6</v>
      </c>
      <c r="K1" s="8" t="s">
        <v>7</v>
      </c>
      <c r="L1" s="9" t="s">
        <v>12</v>
      </c>
    </row>
    <row r="2" spans="1:12" customFormat="1" x14ac:dyDescent="0.2">
      <c r="A2" s="67" t="s">
        <v>447</v>
      </c>
      <c r="B2" s="19" t="s">
        <v>392</v>
      </c>
      <c r="C2" s="32" t="s">
        <v>424</v>
      </c>
      <c r="D2" s="32" t="s">
        <v>424</v>
      </c>
      <c r="E2" s="32" t="s">
        <v>424</v>
      </c>
      <c r="F2" s="32" t="s">
        <v>424</v>
      </c>
      <c r="G2" s="32" t="s">
        <v>0</v>
      </c>
      <c r="H2" s="32" t="s">
        <v>0</v>
      </c>
      <c r="I2" s="32" t="s">
        <v>0</v>
      </c>
      <c r="J2" s="32" t="s">
        <v>0</v>
      </c>
      <c r="K2" s="32" t="s">
        <v>0</v>
      </c>
      <c r="L2" s="32" t="s">
        <v>0</v>
      </c>
    </row>
    <row r="3" spans="1:12" x14ac:dyDescent="0.2">
      <c r="A3" s="67" t="s">
        <v>449</v>
      </c>
      <c r="B3" s="19" t="s">
        <v>390</v>
      </c>
      <c r="C3" s="32" t="s">
        <v>424</v>
      </c>
      <c r="D3" s="32" t="s">
        <v>424</v>
      </c>
      <c r="E3" s="32" t="s">
        <v>424</v>
      </c>
      <c r="F3" s="32" t="s">
        <v>424</v>
      </c>
      <c r="G3" s="32" t="s">
        <v>424</v>
      </c>
      <c r="H3" s="32" t="s">
        <v>0</v>
      </c>
      <c r="I3" s="32" t="s">
        <v>0</v>
      </c>
      <c r="J3" s="32" t="s">
        <v>0</v>
      </c>
      <c r="K3" s="32" t="s">
        <v>0</v>
      </c>
      <c r="L3" s="32" t="s">
        <v>0</v>
      </c>
    </row>
    <row r="4" spans="1:12" x14ac:dyDescent="0.2">
      <c r="A4" s="67" t="s">
        <v>462</v>
      </c>
      <c r="B4" s="19" t="s">
        <v>391</v>
      </c>
      <c r="C4" s="32" t="s">
        <v>424</v>
      </c>
      <c r="D4" s="32" t="s">
        <v>424</v>
      </c>
      <c r="E4" s="32" t="s">
        <v>424</v>
      </c>
      <c r="F4" s="32" t="s">
        <v>424</v>
      </c>
      <c r="G4" s="32" t="s">
        <v>0</v>
      </c>
      <c r="H4" s="32" t="s">
        <v>424</v>
      </c>
      <c r="I4" s="32" t="s">
        <v>0</v>
      </c>
      <c r="J4" s="32" t="s">
        <v>0</v>
      </c>
      <c r="K4" s="32" t="s">
        <v>424</v>
      </c>
      <c r="L4" s="32" t="s">
        <v>0</v>
      </c>
    </row>
    <row r="5" spans="1:12" x14ac:dyDescent="0.2">
      <c r="A5" s="67" t="s">
        <v>463</v>
      </c>
      <c r="B5" s="19" t="s">
        <v>394</v>
      </c>
      <c r="C5" s="32" t="s">
        <v>424</v>
      </c>
      <c r="D5" s="32" t="s">
        <v>424</v>
      </c>
      <c r="E5" s="32" t="s">
        <v>424</v>
      </c>
      <c r="F5" s="32" t="s">
        <v>424</v>
      </c>
      <c r="G5" s="32" t="s">
        <v>0</v>
      </c>
      <c r="H5" s="32" t="s">
        <v>424</v>
      </c>
      <c r="I5" s="32" t="s">
        <v>0</v>
      </c>
      <c r="J5" s="32" t="s">
        <v>0</v>
      </c>
      <c r="K5" s="32" t="s">
        <v>0</v>
      </c>
      <c r="L5" s="32" t="s">
        <v>0</v>
      </c>
    </row>
    <row r="6" spans="1:12" x14ac:dyDescent="0.2">
      <c r="A6" s="67" t="s">
        <v>493</v>
      </c>
      <c r="B6" s="19" t="s">
        <v>494</v>
      </c>
      <c r="C6" s="32" t="s">
        <v>0</v>
      </c>
      <c r="D6" s="32" t="s">
        <v>424</v>
      </c>
      <c r="E6" s="32" t="s">
        <v>424</v>
      </c>
      <c r="F6" s="32" t="s">
        <v>424</v>
      </c>
      <c r="G6" s="32" t="s">
        <v>0</v>
      </c>
      <c r="H6" s="32" t="s">
        <v>0</v>
      </c>
      <c r="I6" s="32" t="s">
        <v>0</v>
      </c>
      <c r="J6" s="32" t="s">
        <v>0</v>
      </c>
      <c r="K6" s="32" t="s">
        <v>0</v>
      </c>
      <c r="L6" s="32" t="s">
        <v>0</v>
      </c>
    </row>
    <row r="7" spans="1:12" x14ac:dyDescent="0.2">
      <c r="A7" s="67" t="s">
        <v>526</v>
      </c>
      <c r="B7" s="19" t="s">
        <v>527</v>
      </c>
      <c r="C7" s="32" t="s">
        <v>424</v>
      </c>
      <c r="D7" s="32" t="s">
        <v>424</v>
      </c>
      <c r="E7" s="32" t="s">
        <v>424</v>
      </c>
      <c r="F7" s="32" t="s">
        <v>424</v>
      </c>
      <c r="G7" s="32" t="s">
        <v>0</v>
      </c>
      <c r="H7" s="32" t="s">
        <v>0</v>
      </c>
      <c r="I7" s="32" t="s">
        <v>0</v>
      </c>
      <c r="J7" s="32" t="s">
        <v>0</v>
      </c>
      <c r="K7" s="32" t="s">
        <v>0</v>
      </c>
      <c r="L7" s="32" t="s">
        <v>0</v>
      </c>
    </row>
    <row r="8" spans="1:12" x14ac:dyDescent="0.2">
      <c r="A8" s="67" t="s">
        <v>539</v>
      </c>
      <c r="B8" s="19" t="s">
        <v>394</v>
      </c>
      <c r="C8" s="32" t="s">
        <v>424</v>
      </c>
      <c r="D8" s="32" t="s">
        <v>424</v>
      </c>
      <c r="E8" s="32" t="s">
        <v>424</v>
      </c>
      <c r="F8" s="32" t="s">
        <v>424</v>
      </c>
      <c r="G8" s="32" t="s">
        <v>0</v>
      </c>
      <c r="H8" s="32" t="s">
        <v>0</v>
      </c>
      <c r="I8" s="32" t="s">
        <v>0</v>
      </c>
      <c r="J8" s="32" t="s">
        <v>424</v>
      </c>
      <c r="K8" s="32" t="s">
        <v>0</v>
      </c>
      <c r="L8" s="32" t="s">
        <v>0</v>
      </c>
    </row>
    <row r="9" spans="1:12" x14ac:dyDescent="0.2">
      <c r="A9" s="67" t="s">
        <v>542</v>
      </c>
      <c r="B9" s="18" t="s">
        <v>494</v>
      </c>
      <c r="C9" s="32" t="s">
        <v>424</v>
      </c>
      <c r="D9" s="32" t="s">
        <v>424</v>
      </c>
      <c r="E9" s="32" t="s">
        <v>426</v>
      </c>
      <c r="F9" s="32" t="s">
        <v>0</v>
      </c>
      <c r="G9" s="32" t="s">
        <v>0</v>
      </c>
      <c r="H9" s="32" t="s">
        <v>0</v>
      </c>
      <c r="I9" s="32" t="s">
        <v>0</v>
      </c>
      <c r="J9" s="32" t="s">
        <v>0</v>
      </c>
      <c r="K9" s="32" t="s">
        <v>424</v>
      </c>
      <c r="L9" s="32" t="s">
        <v>481</v>
      </c>
    </row>
    <row r="10" spans="1:12" x14ac:dyDescent="0.2">
      <c r="A10" s="67" t="s">
        <v>543</v>
      </c>
      <c r="B10" s="19" t="s">
        <v>392</v>
      </c>
      <c r="C10" s="32" t="s">
        <v>0</v>
      </c>
      <c r="D10" s="32" t="s">
        <v>424</v>
      </c>
      <c r="E10" s="32" t="s">
        <v>0</v>
      </c>
      <c r="F10" s="32" t="s">
        <v>424</v>
      </c>
      <c r="G10" s="32" t="s">
        <v>0</v>
      </c>
      <c r="H10" s="32" t="s">
        <v>0</v>
      </c>
      <c r="I10" s="32" t="s">
        <v>424</v>
      </c>
      <c r="J10" s="32" t="s">
        <v>0</v>
      </c>
      <c r="K10" s="32" t="s">
        <v>0</v>
      </c>
      <c r="L10" s="32" t="s">
        <v>0</v>
      </c>
    </row>
    <row r="11" spans="1:12" x14ac:dyDescent="0.2">
      <c r="A11" s="67" t="s">
        <v>553</v>
      </c>
      <c r="B11" s="19" t="s">
        <v>400</v>
      </c>
      <c r="C11" s="32" t="s">
        <v>424</v>
      </c>
      <c r="D11" s="32" t="s">
        <v>424</v>
      </c>
      <c r="E11" s="32" t="s">
        <v>426</v>
      </c>
      <c r="F11" s="32" t="s">
        <v>424</v>
      </c>
      <c r="G11" s="32" t="s">
        <v>0</v>
      </c>
      <c r="H11" s="32" t="s">
        <v>0</v>
      </c>
      <c r="I11" s="32" t="s">
        <v>0</v>
      </c>
      <c r="J11" s="32" t="s">
        <v>0</v>
      </c>
      <c r="K11" s="32" t="s">
        <v>0</v>
      </c>
      <c r="L11" s="32" t="s">
        <v>481</v>
      </c>
    </row>
    <row r="12" spans="1:12" x14ac:dyDescent="0.2">
      <c r="A12" s="67" t="s">
        <v>555</v>
      </c>
      <c r="B12" s="19" t="s">
        <v>556</v>
      </c>
      <c r="C12" s="32" t="s">
        <v>424</v>
      </c>
      <c r="D12" s="32" t="s">
        <v>424</v>
      </c>
      <c r="E12" s="32" t="s">
        <v>424</v>
      </c>
      <c r="F12" s="32" t="s">
        <v>424</v>
      </c>
      <c r="G12" s="32" t="s">
        <v>0</v>
      </c>
      <c r="H12" s="32" t="s">
        <v>0</v>
      </c>
      <c r="I12" s="32" t="s">
        <v>0</v>
      </c>
      <c r="J12" s="32" t="s">
        <v>0</v>
      </c>
      <c r="K12" s="32" t="s">
        <v>0</v>
      </c>
      <c r="L12" s="32" t="s">
        <v>0</v>
      </c>
    </row>
    <row r="13" spans="1:12" ht="15.75" customHeight="1" x14ac:dyDescent="0.2">
      <c r="A13" s="67" t="s">
        <v>557</v>
      </c>
      <c r="B13" s="18" t="s">
        <v>392</v>
      </c>
      <c r="C13" s="32" t="s">
        <v>424</v>
      </c>
      <c r="D13" s="32" t="s">
        <v>424</v>
      </c>
      <c r="E13" s="32" t="s">
        <v>424</v>
      </c>
      <c r="F13" s="32" t="s">
        <v>424</v>
      </c>
      <c r="G13" s="32" t="s">
        <v>424</v>
      </c>
      <c r="H13" s="32" t="s">
        <v>0</v>
      </c>
      <c r="I13" s="32" t="s">
        <v>0</v>
      </c>
      <c r="J13" s="32" t="s">
        <v>0</v>
      </c>
      <c r="K13" s="32" t="s">
        <v>0</v>
      </c>
      <c r="L13" s="32" t="s">
        <v>0</v>
      </c>
    </row>
    <row r="14" spans="1:12" ht="12.75" customHeight="1" x14ac:dyDescent="0.2">
      <c r="A14" s="26" t="s">
        <v>562</v>
      </c>
      <c r="B14" s="18" t="s">
        <v>390</v>
      </c>
      <c r="C14" s="32" t="s">
        <v>424</v>
      </c>
      <c r="D14" s="32" t="s">
        <v>424</v>
      </c>
      <c r="E14" s="32" t="s">
        <v>424</v>
      </c>
      <c r="F14" s="32" t="s">
        <v>424</v>
      </c>
      <c r="G14" s="32" t="s">
        <v>0</v>
      </c>
      <c r="H14" s="32" t="s">
        <v>0</v>
      </c>
      <c r="I14" s="32" t="s">
        <v>0</v>
      </c>
      <c r="J14" s="32" t="s">
        <v>0</v>
      </c>
      <c r="K14" s="32" t="s">
        <v>0</v>
      </c>
      <c r="L14" s="32" t="s">
        <v>0</v>
      </c>
    </row>
    <row r="15" spans="1:12" ht="12.75" customHeight="1" x14ac:dyDescent="0.2">
      <c r="A15" s="26" t="s">
        <v>580</v>
      </c>
      <c r="B15" s="18" t="s">
        <v>394</v>
      </c>
      <c r="C15" s="32" t="s">
        <v>424</v>
      </c>
      <c r="D15" s="32" t="s">
        <v>424</v>
      </c>
      <c r="E15" s="32" t="s">
        <v>424</v>
      </c>
      <c r="F15" s="32" t="s">
        <v>424</v>
      </c>
      <c r="G15" s="32" t="s">
        <v>0</v>
      </c>
      <c r="H15" s="32" t="s">
        <v>0</v>
      </c>
      <c r="I15" s="32" t="s">
        <v>0</v>
      </c>
      <c r="J15" s="32" t="s">
        <v>0</v>
      </c>
      <c r="K15" s="32" t="s">
        <v>0</v>
      </c>
      <c r="L15" s="32" t="s">
        <v>0</v>
      </c>
    </row>
    <row r="16" spans="1:12" x14ac:dyDescent="0.2">
      <c r="A16" s="26" t="s">
        <v>590</v>
      </c>
      <c r="B16" s="18" t="s">
        <v>395</v>
      </c>
      <c r="C16" s="32" t="s">
        <v>424</v>
      </c>
      <c r="D16" s="32" t="s">
        <v>424</v>
      </c>
      <c r="E16" s="32" t="s">
        <v>424</v>
      </c>
      <c r="F16" s="32" t="s">
        <v>424</v>
      </c>
      <c r="G16" s="32" t="s">
        <v>0</v>
      </c>
      <c r="H16" s="32" t="s">
        <v>0</v>
      </c>
      <c r="I16" s="88" t="s">
        <v>0</v>
      </c>
      <c r="J16" s="32" t="s">
        <v>0</v>
      </c>
      <c r="K16" s="32" t="s">
        <v>0</v>
      </c>
      <c r="L16" s="32" t="s">
        <v>0</v>
      </c>
    </row>
    <row r="17" spans="1:12" x14ac:dyDescent="0.2">
      <c r="A17" s="26" t="s">
        <v>595</v>
      </c>
      <c r="B17" s="18" t="s">
        <v>392</v>
      </c>
      <c r="C17" s="32" t="s">
        <v>424</v>
      </c>
      <c r="D17" s="32" t="s">
        <v>424</v>
      </c>
      <c r="E17" s="32" t="s">
        <v>0</v>
      </c>
      <c r="F17" s="32" t="s">
        <v>424</v>
      </c>
      <c r="G17" s="32" t="s">
        <v>0</v>
      </c>
      <c r="H17" s="32" t="s">
        <v>0</v>
      </c>
      <c r="I17" s="88" t="s">
        <v>0</v>
      </c>
      <c r="J17" s="32" t="s">
        <v>0</v>
      </c>
      <c r="K17" s="32" t="s">
        <v>0</v>
      </c>
      <c r="L17" s="32" t="s">
        <v>0</v>
      </c>
    </row>
    <row r="18" spans="1:12" x14ac:dyDescent="0.2">
      <c r="A18" s="26" t="s">
        <v>600</v>
      </c>
      <c r="B18" s="18" t="s">
        <v>601</v>
      </c>
      <c r="C18" s="32" t="s">
        <v>424</v>
      </c>
      <c r="D18" s="32" t="s">
        <v>424</v>
      </c>
      <c r="E18" s="32" t="s">
        <v>0</v>
      </c>
      <c r="F18" s="32" t="s">
        <v>424</v>
      </c>
      <c r="G18" s="32" t="s">
        <v>0</v>
      </c>
      <c r="H18" s="32" t="s">
        <v>0</v>
      </c>
      <c r="I18" s="88" t="s">
        <v>0</v>
      </c>
      <c r="J18" s="32" t="s">
        <v>0</v>
      </c>
      <c r="K18" s="32" t="s">
        <v>0</v>
      </c>
      <c r="L18" s="32" t="s">
        <v>0</v>
      </c>
    </row>
    <row r="19" spans="1:12" x14ac:dyDescent="0.2">
      <c r="A19" s="26" t="s">
        <v>608</v>
      </c>
      <c r="B19" s="18" t="s">
        <v>390</v>
      </c>
      <c r="C19" s="32" t="s">
        <v>424</v>
      </c>
      <c r="D19" s="32" t="s">
        <v>424</v>
      </c>
      <c r="E19" s="32" t="s">
        <v>0</v>
      </c>
      <c r="F19" s="32" t="s">
        <v>424</v>
      </c>
      <c r="G19" s="32" t="s">
        <v>0</v>
      </c>
      <c r="H19" s="32" t="s">
        <v>0</v>
      </c>
      <c r="I19" s="32" t="s">
        <v>0</v>
      </c>
      <c r="J19" s="32" t="s">
        <v>0</v>
      </c>
      <c r="K19" s="32" t="s">
        <v>0</v>
      </c>
      <c r="L19" s="32" t="s">
        <v>0</v>
      </c>
    </row>
    <row r="20" spans="1:12" x14ac:dyDescent="0.2">
      <c r="A20" s="26" t="s">
        <v>613</v>
      </c>
      <c r="B20" s="18" t="s">
        <v>601</v>
      </c>
      <c r="C20" s="32" t="s">
        <v>424</v>
      </c>
      <c r="D20" s="32" t="s">
        <v>424</v>
      </c>
      <c r="E20" s="32" t="s">
        <v>0</v>
      </c>
      <c r="F20" s="32" t="s">
        <v>424</v>
      </c>
      <c r="G20" s="32" t="s">
        <v>0</v>
      </c>
      <c r="H20" s="32" t="s">
        <v>424</v>
      </c>
      <c r="I20" s="32" t="s">
        <v>0</v>
      </c>
      <c r="J20" s="32" t="s">
        <v>0</v>
      </c>
      <c r="K20" s="32" t="s">
        <v>424</v>
      </c>
      <c r="L20" s="32" t="s">
        <v>0</v>
      </c>
    </row>
    <row r="21" spans="1:12" x14ac:dyDescent="0.2">
      <c r="A21" t="s">
        <v>617</v>
      </c>
      <c r="B21" s="2" t="s">
        <v>618</v>
      </c>
      <c r="C21" s="31" t="s">
        <v>424</v>
      </c>
      <c r="D21" s="31" t="s">
        <v>424</v>
      </c>
      <c r="E21" s="31" t="s">
        <v>424</v>
      </c>
      <c r="F21" s="31" t="s">
        <v>424</v>
      </c>
      <c r="G21" s="31" t="s">
        <v>0</v>
      </c>
      <c r="H21" s="31" t="s">
        <v>0</v>
      </c>
      <c r="I21" s="69" t="s">
        <v>0</v>
      </c>
      <c r="J21" s="69" t="s">
        <v>0</v>
      </c>
      <c r="K21" s="69" t="s">
        <v>0</v>
      </c>
      <c r="L21" s="69" t="s">
        <v>0</v>
      </c>
    </row>
    <row r="22" spans="1:12" x14ac:dyDescent="0.2">
      <c r="A22" t="s">
        <v>619</v>
      </c>
      <c r="B22" s="2" t="s">
        <v>390</v>
      </c>
      <c r="C22" s="31" t="s">
        <v>424</v>
      </c>
      <c r="D22" s="31" t="s">
        <v>424</v>
      </c>
      <c r="E22" s="31" t="s">
        <v>424</v>
      </c>
      <c r="F22" s="31" t="s">
        <v>424</v>
      </c>
      <c r="G22" s="31" t="s">
        <v>0</v>
      </c>
      <c r="H22" s="31" t="s">
        <v>0</v>
      </c>
      <c r="I22" s="69" t="s">
        <v>0</v>
      </c>
      <c r="J22" s="69" t="s">
        <v>0</v>
      </c>
      <c r="K22" s="69" t="s">
        <v>0</v>
      </c>
      <c r="L22" s="69" t="s">
        <v>0</v>
      </c>
    </row>
    <row r="23" spans="1:12" x14ac:dyDescent="0.2">
      <c r="A23" t="s">
        <v>625</v>
      </c>
      <c r="B23" s="2" t="s">
        <v>391</v>
      </c>
      <c r="C23" s="31" t="s">
        <v>0</v>
      </c>
      <c r="D23" s="31" t="s">
        <v>424</v>
      </c>
      <c r="E23" s="31" t="s">
        <v>0</v>
      </c>
      <c r="F23" s="31" t="s">
        <v>424</v>
      </c>
      <c r="G23" s="31" t="s">
        <v>0</v>
      </c>
      <c r="H23" s="31" t="s">
        <v>0</v>
      </c>
      <c r="I23" s="69" t="s">
        <v>0</v>
      </c>
      <c r="J23" s="69" t="s">
        <v>0</v>
      </c>
      <c r="K23" s="69" t="s">
        <v>0</v>
      </c>
      <c r="L23" s="69" t="s">
        <v>0</v>
      </c>
    </row>
    <row r="24" spans="1:12" x14ac:dyDescent="0.2">
      <c r="B24" s="2"/>
      <c r="C24" s="31"/>
      <c r="D24" s="31"/>
      <c r="E24" s="31"/>
      <c r="F24" s="31"/>
      <c r="G24" s="31"/>
      <c r="H24" s="31"/>
      <c r="I24" s="69"/>
      <c r="J24" s="69"/>
      <c r="K24" s="69"/>
      <c r="L24" s="69"/>
    </row>
    <row r="25" spans="1:12" x14ac:dyDescent="0.2">
      <c r="B25" s="2"/>
      <c r="C25" s="31"/>
      <c r="D25" s="31"/>
      <c r="E25" s="31"/>
      <c r="F25" s="31"/>
      <c r="G25" s="31"/>
      <c r="H25" s="31"/>
      <c r="I25" s="69"/>
      <c r="J25" s="69"/>
      <c r="K25" s="69"/>
      <c r="L25" s="69"/>
    </row>
    <row r="26" spans="1:12" x14ac:dyDescent="0.2">
      <c r="B26" s="2"/>
      <c r="C26" s="31"/>
      <c r="D26" s="31"/>
      <c r="E26" s="31"/>
      <c r="F26" s="31"/>
      <c r="G26" s="31"/>
      <c r="H26" s="31"/>
      <c r="I26" s="69"/>
      <c r="J26" s="69"/>
      <c r="K26" s="69"/>
      <c r="L26" s="69"/>
    </row>
    <row r="27" spans="1:12" x14ac:dyDescent="0.2">
      <c r="B27" s="2"/>
      <c r="C27" s="31"/>
      <c r="D27" s="31"/>
      <c r="E27" s="31"/>
      <c r="F27" s="31"/>
      <c r="G27" s="31"/>
      <c r="H27" s="31"/>
      <c r="I27" s="69"/>
      <c r="J27" s="69"/>
      <c r="K27" s="69"/>
      <c r="L27" s="69"/>
    </row>
  </sheetData>
  <conditionalFormatting sqref="A1:M1048576">
    <cfRule type="containsText" dxfId="53" priority="1" operator="containsText" text="No">
      <formula>NOT(ISERROR(SEARCH("No",A1)))</formula>
    </cfRule>
    <cfRule type="containsText" dxfId="52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1:L7"/>
  <sheetViews>
    <sheetView workbookViewId="0">
      <selection activeCell="A2" sqref="A2"/>
    </sheetView>
  </sheetViews>
  <sheetFormatPr defaultRowHeight="12.75" x14ac:dyDescent="0.2"/>
  <cols>
    <col min="1" max="1" width="9" bestFit="1" customWidth="1"/>
    <col min="2" max="2" width="22.57031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141.42578125" customWidth="1"/>
  </cols>
  <sheetData>
    <row r="1" spans="1:12" x14ac:dyDescent="0.2">
      <c r="A1" s="15" t="s">
        <v>1</v>
      </c>
      <c r="B1" s="16" t="s">
        <v>8</v>
      </c>
      <c r="C1" s="17" t="s">
        <v>9</v>
      </c>
      <c r="D1" s="13" t="s">
        <v>10</v>
      </c>
      <c r="E1" s="16" t="s">
        <v>2</v>
      </c>
      <c r="F1" s="16" t="s">
        <v>428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3" t="s">
        <v>12</v>
      </c>
    </row>
    <row r="2" spans="1:12" x14ac:dyDescent="0.2">
      <c r="A2" s="68" t="s">
        <v>495</v>
      </c>
      <c r="B2" s="18" t="s">
        <v>496</v>
      </c>
      <c r="C2" s="18" t="s">
        <v>426</v>
      </c>
      <c r="D2" s="18" t="s">
        <v>424</v>
      </c>
      <c r="E2" s="18" t="s">
        <v>426</v>
      </c>
      <c r="F2" s="18" t="s">
        <v>424</v>
      </c>
      <c r="G2" s="18" t="s">
        <v>0</v>
      </c>
      <c r="H2" s="18" t="s">
        <v>0</v>
      </c>
      <c r="I2" s="18" t="s">
        <v>0</v>
      </c>
      <c r="J2" s="18" t="s">
        <v>0</v>
      </c>
      <c r="K2" s="18" t="s">
        <v>0</v>
      </c>
      <c r="L2" s="18" t="s">
        <v>497</v>
      </c>
    </row>
    <row r="3" spans="1:12" x14ac:dyDescent="0.2">
      <c r="A3" s="68" t="s">
        <v>609</v>
      </c>
      <c r="B3" s="18" t="s">
        <v>496</v>
      </c>
      <c r="C3" s="18" t="s">
        <v>424</v>
      </c>
      <c r="D3" s="18" t="s">
        <v>424</v>
      </c>
      <c r="E3" s="18" t="s">
        <v>426</v>
      </c>
      <c r="F3" s="18" t="s">
        <v>424</v>
      </c>
      <c r="G3" s="18" t="s">
        <v>424</v>
      </c>
      <c r="H3" s="18" t="s">
        <v>0</v>
      </c>
      <c r="I3" s="18" t="s">
        <v>0</v>
      </c>
      <c r="J3" s="18" t="s">
        <v>0</v>
      </c>
      <c r="K3" s="18" t="s">
        <v>0</v>
      </c>
      <c r="L3" s="18" t="s">
        <v>0</v>
      </c>
    </row>
    <row r="4" spans="1:12" x14ac:dyDescent="0.2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</row>
    <row r="5" spans="1:12" x14ac:dyDescent="0.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2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</row>
    <row r="7" spans="1:12" x14ac:dyDescent="0.2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</sheetData>
  <conditionalFormatting sqref="A2:M1048576 A1:C1 E1:M1">
    <cfRule type="containsText" dxfId="51" priority="3" operator="containsText" text="No">
      <formula>NOT(ISERROR(SEARCH("No",A1)))</formula>
    </cfRule>
    <cfRule type="containsText" dxfId="50" priority="4" operator="containsText" text="Yes">
      <formula>NOT(ISERROR(SEARCH("Yes",A1)))</formula>
    </cfRule>
  </conditionalFormatting>
  <conditionalFormatting sqref="D1">
    <cfRule type="containsText" dxfId="49" priority="1" operator="containsText" text="No">
      <formula>NOT(ISERROR(SEARCH("No",D1)))</formula>
    </cfRule>
    <cfRule type="containsText" dxfId="48" priority="2" operator="containsText" text="Yes">
      <formula>NOT(ISERROR(SEARCH("Yes",D1)))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0.79998168889431442"/>
  </sheetPr>
  <dimension ref="A1:M33"/>
  <sheetViews>
    <sheetView workbookViewId="0">
      <pane xSplit="18735" topLeftCell="L1"/>
      <selection activeCell="A2" sqref="A2"/>
      <selection pane="topRight" activeCell="F1" sqref="F1"/>
    </sheetView>
  </sheetViews>
  <sheetFormatPr defaultRowHeight="12.75" x14ac:dyDescent="0.2"/>
  <cols>
    <col min="1" max="1" width="9" bestFit="1" customWidth="1"/>
    <col min="2" max="2" width="22.57031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152.28515625" bestFit="1" customWidth="1"/>
  </cols>
  <sheetData>
    <row r="1" spans="1:13" x14ac:dyDescent="0.2">
      <c r="A1" s="13" t="s">
        <v>1</v>
      </c>
      <c r="B1" s="13" t="s">
        <v>8</v>
      </c>
      <c r="C1" s="14" t="s">
        <v>9</v>
      </c>
      <c r="D1" s="13" t="s">
        <v>10</v>
      </c>
      <c r="E1" s="13" t="s">
        <v>2</v>
      </c>
      <c r="F1" s="13" t="s">
        <v>428</v>
      </c>
      <c r="G1" s="13" t="s">
        <v>3</v>
      </c>
      <c r="H1" s="13" t="s">
        <v>4</v>
      </c>
      <c r="I1" s="13" t="s">
        <v>5</v>
      </c>
      <c r="J1" s="13" t="s">
        <v>6</v>
      </c>
      <c r="K1" s="13" t="s">
        <v>7</v>
      </c>
      <c r="L1" s="13" t="s">
        <v>12</v>
      </c>
    </row>
    <row r="2" spans="1:13" x14ac:dyDescent="0.2">
      <c r="A2" s="68" t="s">
        <v>453</v>
      </c>
      <c r="B2" s="18" t="s">
        <v>454</v>
      </c>
      <c r="C2" s="18" t="s">
        <v>424</v>
      </c>
      <c r="D2" s="18" t="s">
        <v>424</v>
      </c>
      <c r="E2" s="18" t="s">
        <v>424</v>
      </c>
      <c r="F2" s="18" t="s">
        <v>424</v>
      </c>
      <c r="G2" s="18" t="s">
        <v>0</v>
      </c>
      <c r="H2" s="18" t="s">
        <v>0</v>
      </c>
      <c r="I2" s="18" t="s">
        <v>0</v>
      </c>
      <c r="J2" s="18" t="s">
        <v>0</v>
      </c>
      <c r="K2" s="18" t="s">
        <v>0</v>
      </c>
      <c r="L2" s="18" t="s">
        <v>0</v>
      </c>
      <c r="M2" s="26"/>
    </row>
    <row r="3" spans="1:13" x14ac:dyDescent="0.2">
      <c r="A3" s="68" t="s">
        <v>492</v>
      </c>
      <c r="B3" s="18" t="s">
        <v>388</v>
      </c>
      <c r="C3" s="18" t="s">
        <v>424</v>
      </c>
      <c r="D3" s="18" t="s">
        <v>424</v>
      </c>
      <c r="E3" s="18" t="s">
        <v>424</v>
      </c>
      <c r="F3" s="18" t="s">
        <v>424</v>
      </c>
      <c r="G3" s="18" t="s">
        <v>0</v>
      </c>
      <c r="H3" s="18" t="s">
        <v>0</v>
      </c>
      <c r="I3" s="18" t="s">
        <v>0</v>
      </c>
      <c r="J3" s="18" t="s">
        <v>0</v>
      </c>
      <c r="K3" s="18" t="s">
        <v>0</v>
      </c>
      <c r="L3" s="18" t="s">
        <v>0</v>
      </c>
      <c r="M3" s="26"/>
    </row>
    <row r="4" spans="1:13" x14ac:dyDescent="0.2">
      <c r="A4" s="68" t="s">
        <v>532</v>
      </c>
      <c r="B4" s="18" t="s">
        <v>533</v>
      </c>
      <c r="C4" s="18" t="s">
        <v>424</v>
      </c>
      <c r="D4" s="18" t="s">
        <v>424</v>
      </c>
      <c r="E4" s="18" t="s">
        <v>424</v>
      </c>
      <c r="F4" s="18" t="s">
        <v>424</v>
      </c>
      <c r="G4" s="18" t="s">
        <v>0</v>
      </c>
      <c r="H4" s="18" t="s">
        <v>0</v>
      </c>
      <c r="I4" s="18" t="s">
        <v>0</v>
      </c>
      <c r="J4" s="18" t="s">
        <v>0</v>
      </c>
      <c r="K4" s="18" t="s">
        <v>0</v>
      </c>
      <c r="L4" s="18" t="s">
        <v>0</v>
      </c>
      <c r="M4" s="34"/>
    </row>
    <row r="5" spans="1:13" x14ac:dyDescent="0.2">
      <c r="A5" s="68" t="s">
        <v>559</v>
      </c>
      <c r="B5" s="18" t="s">
        <v>560</v>
      </c>
      <c r="C5" s="18" t="s">
        <v>424</v>
      </c>
      <c r="D5" s="18" t="s">
        <v>424</v>
      </c>
      <c r="E5" s="18" t="s">
        <v>0</v>
      </c>
      <c r="F5" s="18" t="s">
        <v>0</v>
      </c>
      <c r="G5" s="18" t="s">
        <v>0</v>
      </c>
      <c r="H5" s="18" t="s">
        <v>0</v>
      </c>
      <c r="I5" s="18" t="s">
        <v>0</v>
      </c>
      <c r="J5" s="18" t="s">
        <v>0</v>
      </c>
      <c r="K5" s="18" t="s">
        <v>0</v>
      </c>
      <c r="L5" s="18" t="s">
        <v>0</v>
      </c>
      <c r="M5" s="26"/>
    </row>
    <row r="6" spans="1:13" x14ac:dyDescent="0.2">
      <c r="A6" s="68" t="s">
        <v>568</v>
      </c>
      <c r="B6" s="18" t="s">
        <v>569</v>
      </c>
      <c r="C6" s="18" t="s">
        <v>424</v>
      </c>
      <c r="D6" s="18" t="s">
        <v>424</v>
      </c>
      <c r="E6" s="18" t="s">
        <v>0</v>
      </c>
      <c r="F6" s="18" t="s">
        <v>424</v>
      </c>
      <c r="G6" s="18" t="s">
        <v>0</v>
      </c>
      <c r="H6" s="18" t="s">
        <v>0</v>
      </c>
      <c r="I6" s="18" t="s">
        <v>0</v>
      </c>
      <c r="J6" s="18" t="s">
        <v>0</v>
      </c>
      <c r="K6" s="18" t="s">
        <v>0</v>
      </c>
      <c r="L6" s="18" t="s">
        <v>0</v>
      </c>
      <c r="M6" s="26"/>
    </row>
    <row r="7" spans="1:13" x14ac:dyDescent="0.2">
      <c r="A7" s="68" t="s">
        <v>571</v>
      </c>
      <c r="B7" s="18" t="s">
        <v>454</v>
      </c>
      <c r="C7" s="18" t="s">
        <v>424</v>
      </c>
      <c r="D7" s="18" t="s">
        <v>424</v>
      </c>
      <c r="E7" s="18" t="s">
        <v>424</v>
      </c>
      <c r="F7" s="18" t="s">
        <v>0</v>
      </c>
      <c r="G7" s="18" t="s">
        <v>0</v>
      </c>
      <c r="H7" s="18" t="s">
        <v>0</v>
      </c>
      <c r="I7" s="18" t="s">
        <v>0</v>
      </c>
      <c r="J7" s="18" t="s">
        <v>0</v>
      </c>
      <c r="K7" s="18" t="s">
        <v>0</v>
      </c>
      <c r="L7" s="18" t="s">
        <v>0</v>
      </c>
      <c r="M7" s="26"/>
    </row>
    <row r="8" spans="1:13" x14ac:dyDescent="0.2">
      <c r="A8" s="68" t="s">
        <v>588</v>
      </c>
      <c r="B8" s="18" t="s">
        <v>589</v>
      </c>
      <c r="C8" s="18" t="s">
        <v>424</v>
      </c>
      <c r="D8" s="18" t="s">
        <v>424</v>
      </c>
      <c r="E8" s="18" t="s">
        <v>424</v>
      </c>
      <c r="F8" s="18" t="s">
        <v>424</v>
      </c>
      <c r="G8" s="18" t="s">
        <v>0</v>
      </c>
      <c r="H8" s="18" t="s">
        <v>0</v>
      </c>
      <c r="I8" s="18" t="s">
        <v>0</v>
      </c>
      <c r="J8" s="18" t="s">
        <v>0</v>
      </c>
      <c r="K8" s="18" t="s">
        <v>0</v>
      </c>
      <c r="L8" s="18" t="s">
        <v>0</v>
      </c>
      <c r="M8" s="26"/>
    </row>
    <row r="9" spans="1:13" x14ac:dyDescent="0.2">
      <c r="A9" s="68" t="s">
        <v>622</v>
      </c>
      <c r="B9" s="18" t="s">
        <v>533</v>
      </c>
      <c r="C9" s="18" t="s">
        <v>424</v>
      </c>
      <c r="D9" s="18" t="s">
        <v>424</v>
      </c>
      <c r="E9" s="18" t="s">
        <v>424</v>
      </c>
      <c r="F9" s="18" t="s">
        <v>424</v>
      </c>
      <c r="G9" s="18" t="s">
        <v>0</v>
      </c>
      <c r="H9" s="18" t="s">
        <v>0</v>
      </c>
      <c r="I9" s="18" t="s">
        <v>0</v>
      </c>
      <c r="J9" s="18" t="s">
        <v>0</v>
      </c>
      <c r="K9" s="18" t="s">
        <v>0</v>
      </c>
      <c r="L9" s="18" t="s">
        <v>0</v>
      </c>
      <c r="M9" s="26"/>
    </row>
    <row r="10" spans="1:13" ht="15.75" customHeight="1" x14ac:dyDescent="0.2">
      <c r="A10" s="6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26"/>
    </row>
    <row r="11" spans="1:13" x14ac:dyDescent="0.2">
      <c r="A11" s="6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26"/>
    </row>
    <row r="12" spans="1:13" x14ac:dyDescent="0.2">
      <c r="A12" s="6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26"/>
    </row>
    <row r="13" spans="1:13" x14ac:dyDescent="0.2">
      <c r="A13" s="6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26"/>
    </row>
    <row r="14" spans="1:13" x14ac:dyDescent="0.2">
      <c r="A14" s="6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26"/>
    </row>
    <row r="15" spans="1:13" x14ac:dyDescent="0.2">
      <c r="A15" s="6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26"/>
    </row>
    <row r="16" spans="1:13" x14ac:dyDescent="0.2">
      <c r="A16" s="6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34"/>
    </row>
    <row r="17" spans="1:13" x14ac:dyDescent="0.2">
      <c r="A17" s="6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34"/>
    </row>
    <row r="18" spans="1:13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26"/>
    </row>
    <row r="19" spans="1:13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26"/>
    </row>
    <row r="20" spans="1:13" x14ac:dyDescent="0.2">
      <c r="A20" s="6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</row>
    <row r="21" spans="1:13" x14ac:dyDescent="0.2">
      <c r="A21" s="6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1:13" x14ac:dyDescent="0.2">
      <c r="A22" s="6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</row>
    <row r="23" spans="1:13" x14ac:dyDescent="0.2">
      <c r="A23" s="6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13" x14ac:dyDescent="0.2">
      <c r="A24" s="6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13" x14ac:dyDescent="0.2">
      <c r="A25" s="6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</row>
    <row r="26" spans="1:13" x14ac:dyDescent="0.2">
      <c r="A26" s="6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</row>
    <row r="27" spans="1:13" x14ac:dyDescent="0.2">
      <c r="A27" s="6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</row>
    <row r="28" spans="1:13" x14ac:dyDescent="0.2">
      <c r="A28" s="69"/>
      <c r="B28" s="30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1:13" x14ac:dyDescent="0.2">
      <c r="A29" s="69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28"/>
    </row>
    <row r="30" spans="1:13" x14ac:dyDescent="0.2">
      <c r="A30" s="69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28"/>
    </row>
    <row r="31" spans="1:13" x14ac:dyDescent="0.2">
      <c r="A31" s="26"/>
      <c r="B31" s="26"/>
      <c r="C31" s="26"/>
      <c r="D31" s="26"/>
      <c r="E31" s="26"/>
      <c r="F31" s="26"/>
      <c r="G31" s="26"/>
    </row>
    <row r="32" spans="1:13" x14ac:dyDescent="0.2">
      <c r="A32" s="26"/>
      <c r="B32" s="26"/>
      <c r="C32" s="26"/>
      <c r="D32" s="26"/>
      <c r="E32" s="26"/>
      <c r="F32" s="26"/>
      <c r="G32" s="26"/>
    </row>
    <row r="33" spans="1:7" x14ac:dyDescent="0.2">
      <c r="A33" s="26"/>
      <c r="B33" s="26"/>
      <c r="C33" s="26"/>
      <c r="D33" s="26"/>
      <c r="E33" s="26"/>
      <c r="F33" s="26"/>
      <c r="G33" s="26"/>
    </row>
  </sheetData>
  <conditionalFormatting sqref="A1:M1048576">
    <cfRule type="containsText" dxfId="47" priority="1" operator="containsText" text="No">
      <formula>NOT(ISERROR(SEARCH("No",A1)))</formula>
    </cfRule>
    <cfRule type="containsText" dxfId="46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L22"/>
  <sheetViews>
    <sheetView workbookViewId="0">
      <selection activeCell="A2" sqref="A2"/>
    </sheetView>
  </sheetViews>
  <sheetFormatPr defaultRowHeight="12.75" x14ac:dyDescent="0.2"/>
  <cols>
    <col min="1" max="1" width="9" bestFit="1" customWidth="1"/>
    <col min="2" max="2" width="22.57031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152.28515625" bestFit="1" customWidth="1"/>
  </cols>
  <sheetData>
    <row r="1" spans="1:12" x14ac:dyDescent="0.2">
      <c r="A1" s="13" t="s">
        <v>1</v>
      </c>
      <c r="B1" s="16" t="s">
        <v>8</v>
      </c>
      <c r="C1" s="17" t="s">
        <v>9</v>
      </c>
      <c r="D1" s="16" t="s">
        <v>10</v>
      </c>
      <c r="E1" s="16" t="s">
        <v>2</v>
      </c>
      <c r="F1" s="16" t="s">
        <v>428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2" t="s">
        <v>12</v>
      </c>
    </row>
    <row r="2" spans="1:12" x14ac:dyDescent="0.2">
      <c r="A2" s="68" t="s">
        <v>519</v>
      </c>
      <c r="B2" s="18" t="s">
        <v>520</v>
      </c>
      <c r="C2" s="18" t="s">
        <v>0</v>
      </c>
      <c r="D2" s="18" t="s">
        <v>424</v>
      </c>
      <c r="E2" s="18" t="s">
        <v>426</v>
      </c>
      <c r="F2" s="18" t="s">
        <v>424</v>
      </c>
      <c r="G2" s="18" t="s">
        <v>0</v>
      </c>
      <c r="H2" s="18" t="s">
        <v>424</v>
      </c>
      <c r="I2" s="18" t="s">
        <v>0</v>
      </c>
      <c r="J2" s="18" t="s">
        <v>0</v>
      </c>
      <c r="K2" s="18" t="s">
        <v>0</v>
      </c>
      <c r="L2" s="18" t="s">
        <v>521</v>
      </c>
    </row>
    <row r="3" spans="1:12" x14ac:dyDescent="0.2">
      <c r="A3" s="68" t="s">
        <v>548</v>
      </c>
      <c r="B3" s="18" t="s">
        <v>549</v>
      </c>
      <c r="C3" s="18" t="s">
        <v>0</v>
      </c>
      <c r="D3" s="18" t="s">
        <v>424</v>
      </c>
      <c r="E3" s="18" t="s">
        <v>426</v>
      </c>
      <c r="F3" s="18" t="s">
        <v>424</v>
      </c>
      <c r="G3" s="18" t="s">
        <v>424</v>
      </c>
      <c r="H3" s="18" t="s">
        <v>0</v>
      </c>
      <c r="I3" s="18" t="s">
        <v>0</v>
      </c>
      <c r="J3" s="18" t="s">
        <v>424</v>
      </c>
      <c r="K3" s="18" t="s">
        <v>0</v>
      </c>
      <c r="L3" s="18" t="s">
        <v>481</v>
      </c>
    </row>
    <row r="4" spans="1:12" x14ac:dyDescent="0.2">
      <c r="A4" s="68" t="s">
        <v>563</v>
      </c>
      <c r="B4" s="18" t="s">
        <v>564</v>
      </c>
      <c r="C4" s="18" t="s">
        <v>0</v>
      </c>
      <c r="D4" s="18" t="s">
        <v>426</v>
      </c>
      <c r="E4" s="18" t="s">
        <v>426</v>
      </c>
      <c r="F4" s="18" t="s">
        <v>0</v>
      </c>
      <c r="G4" s="18" t="s">
        <v>424</v>
      </c>
      <c r="H4" s="18" t="s">
        <v>0</v>
      </c>
      <c r="I4" s="18" t="s">
        <v>426</v>
      </c>
      <c r="J4" s="18" t="s">
        <v>0</v>
      </c>
      <c r="K4" s="18" t="s">
        <v>0</v>
      </c>
      <c r="L4" s="18" t="s">
        <v>565</v>
      </c>
    </row>
    <row r="5" spans="1:12" x14ac:dyDescent="0.2">
      <c r="A5" s="25"/>
      <c r="B5" s="18"/>
      <c r="C5" s="22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75"/>
    </row>
    <row r="7" spans="1:12" x14ac:dyDescent="0.2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 x14ac:dyDescent="0.2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2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2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2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2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2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</row>
    <row r="19" spans="1:12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0" spans="1:12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1:12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</row>
  </sheetData>
  <conditionalFormatting sqref="A2:M1048576 M1">
    <cfRule type="containsText" dxfId="45" priority="3" operator="containsText" text="No">
      <formula>NOT(ISERROR(SEARCH("No",A1)))</formula>
    </cfRule>
    <cfRule type="containsText" dxfId="44" priority="4" operator="containsText" text="Yes">
      <formula>NOT(ISERROR(SEARCH("Yes",A1)))</formula>
    </cfRule>
  </conditionalFormatting>
  <conditionalFormatting sqref="A1:L1">
    <cfRule type="containsText" dxfId="43" priority="1" operator="containsText" text="No">
      <formula>NOT(ISERROR(SEARCH("No",A1)))</formula>
    </cfRule>
    <cfRule type="containsText" dxfId="42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O84"/>
  <sheetViews>
    <sheetView showGridLines="0" topLeftCell="B5" zoomScale="60" zoomScaleNormal="60" workbookViewId="0">
      <selection activeCell="B2" sqref="B2:O3"/>
    </sheetView>
  </sheetViews>
  <sheetFormatPr defaultRowHeight="12.75" x14ac:dyDescent="0.2"/>
  <cols>
    <col min="1" max="1" width="0.85546875" customWidth="1"/>
    <col min="2" max="2" width="36" customWidth="1"/>
    <col min="3" max="3" width="20.7109375" customWidth="1"/>
    <col min="4" max="4" width="32.140625" bestFit="1" customWidth="1"/>
    <col min="5" max="5" width="2.5703125" customWidth="1"/>
    <col min="6" max="6" width="34.42578125" customWidth="1"/>
    <col min="7" max="7" width="15.85546875" bestFit="1" customWidth="1"/>
    <col min="8" max="8" width="20.5703125" bestFit="1" customWidth="1"/>
    <col min="9" max="9" width="32.42578125" customWidth="1"/>
    <col min="10" max="10" width="26.85546875" bestFit="1" customWidth="1"/>
    <col min="11" max="11" width="33.42578125" bestFit="1" customWidth="1"/>
    <col min="12" max="12" width="11.7109375" bestFit="1" customWidth="1"/>
    <col min="13" max="13" width="16.5703125" bestFit="1" customWidth="1"/>
    <col min="14" max="14" width="24.5703125" bestFit="1" customWidth="1"/>
    <col min="15" max="15" width="11.5703125" customWidth="1"/>
  </cols>
  <sheetData>
    <row r="1" spans="2:15" ht="6.75" customHeight="1" thickBot="1" x14ac:dyDescent="0.25"/>
    <row r="2" spans="2:15" s="91" customFormat="1" ht="12.75" customHeight="1" x14ac:dyDescent="0.2">
      <c r="B2" s="143" t="s">
        <v>433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5"/>
    </row>
    <row r="3" spans="2:15" s="91" customFormat="1" ht="13.5" customHeight="1" thickBot="1" x14ac:dyDescent="0.25">
      <c r="B3" s="146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8"/>
    </row>
    <row r="4" spans="2:15" s="91" customFormat="1" ht="13.5" thickBot="1" x14ac:dyDescent="0.25">
      <c r="B4" s="120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2"/>
    </row>
    <row r="5" spans="2:15" s="91" customFormat="1" ht="13.5" thickBot="1" x14ac:dyDescent="0.25">
      <c r="B5" s="90" t="s">
        <v>441</v>
      </c>
      <c r="C5" s="90" t="s">
        <v>442</v>
      </c>
      <c r="D5" s="114" t="s">
        <v>443</v>
      </c>
      <c r="F5" s="149" t="s">
        <v>438</v>
      </c>
      <c r="G5" s="150"/>
      <c r="H5" s="151"/>
      <c r="O5" s="99"/>
    </row>
    <row r="6" spans="2:15" s="91" customFormat="1" ht="13.5" thickBot="1" x14ac:dyDescent="0.25">
      <c r="B6" s="124" t="s">
        <v>425</v>
      </c>
      <c r="C6" s="118">
        <v>8</v>
      </c>
      <c r="D6" s="115"/>
      <c r="F6" s="152"/>
      <c r="G6" s="153"/>
      <c r="H6" s="154"/>
      <c r="O6" s="99"/>
    </row>
    <row r="7" spans="2:15" s="91" customFormat="1" ht="13.5" thickBot="1" x14ac:dyDescent="0.25">
      <c r="B7" s="125" t="s">
        <v>77</v>
      </c>
      <c r="C7" s="101">
        <v>7</v>
      </c>
      <c r="D7" s="116">
        <v>1</v>
      </c>
      <c r="F7" s="92" t="s">
        <v>432</v>
      </c>
      <c r="G7" s="96" t="s">
        <v>429</v>
      </c>
      <c r="H7" s="96" t="s">
        <v>431</v>
      </c>
      <c r="I7" s="94" t="s">
        <v>430</v>
      </c>
      <c r="O7" s="99"/>
    </row>
    <row r="8" spans="2:15" s="91" customFormat="1" x14ac:dyDescent="0.2">
      <c r="B8" s="125" t="s">
        <v>69</v>
      </c>
      <c r="C8" s="101"/>
      <c r="D8" s="116"/>
      <c r="F8" s="129" t="s">
        <v>177</v>
      </c>
      <c r="G8" s="97">
        <f>COUNTIF('Unix Server Support'!C:C,"No")</f>
        <v>5</v>
      </c>
      <c r="H8" s="97">
        <f>COUNTIF('Unix Server Support'!E:E,"No")</f>
        <v>31</v>
      </c>
      <c r="I8" s="95">
        <f>COUNTIF('Unix Server Support'!D:D,"No")</f>
        <v>2</v>
      </c>
      <c r="O8" s="99"/>
    </row>
    <row r="9" spans="2:15" s="91" customFormat="1" x14ac:dyDescent="0.2">
      <c r="B9" s="125" t="s">
        <v>60</v>
      </c>
      <c r="C9" s="101"/>
      <c r="D9" s="116"/>
      <c r="F9" s="129" t="s">
        <v>54</v>
      </c>
      <c r="G9" s="97">
        <f>COUNTIF('Wintel Server Support'!C:C,"No")</f>
        <v>2</v>
      </c>
      <c r="H9" s="97">
        <f>COUNTIF('Wintel Server Support'!E:E,"No")</f>
        <v>12</v>
      </c>
      <c r="I9" s="95">
        <f>COUNTIF('Wintel Server Support'!D:D,"No")</f>
        <v>2</v>
      </c>
      <c r="O9" s="99"/>
    </row>
    <row r="10" spans="2:15" s="91" customFormat="1" x14ac:dyDescent="0.2">
      <c r="B10" s="125" t="s">
        <v>40</v>
      </c>
      <c r="C10" s="101">
        <v>20</v>
      </c>
      <c r="D10" s="116">
        <v>2</v>
      </c>
      <c r="F10" s="129" t="s">
        <v>42</v>
      </c>
      <c r="G10" s="97">
        <f>COUNTIF('Service Desk'!C:C,"No")</f>
        <v>0</v>
      </c>
      <c r="H10" s="97">
        <f>COUNTIF('Service Desk'!E:E,"No")</f>
        <v>3</v>
      </c>
      <c r="I10" s="95">
        <f>COUNTIF('Service Desk'!F:F,"No")</f>
        <v>0</v>
      </c>
      <c r="O10" s="99"/>
    </row>
    <row r="11" spans="2:15" s="91" customFormat="1" x14ac:dyDescent="0.2">
      <c r="B11" s="125" t="s">
        <v>42</v>
      </c>
      <c r="C11" s="101"/>
      <c r="D11" s="116">
        <v>3</v>
      </c>
      <c r="F11" s="129" t="s">
        <v>40</v>
      </c>
      <c r="G11" s="97">
        <f>COUNTIF('Network Device Support'!C:C,"No")</f>
        <v>0</v>
      </c>
      <c r="H11" s="97">
        <f>COUNTIF('Network Device Support'!E:E,"No")</f>
        <v>2</v>
      </c>
      <c r="I11" s="95">
        <f>COUNTIF('Network Device Support'!D:D,"No")</f>
        <v>0</v>
      </c>
      <c r="O11" s="99"/>
    </row>
    <row r="12" spans="2:15" s="91" customFormat="1" x14ac:dyDescent="0.2">
      <c r="B12" s="125" t="s">
        <v>427</v>
      </c>
      <c r="C12" s="101">
        <v>1</v>
      </c>
      <c r="D12" s="116">
        <v>1</v>
      </c>
      <c r="F12" s="129" t="s">
        <v>427</v>
      </c>
      <c r="G12" s="97">
        <f>COUNTIF('Storage &amp; BackUp'!C:C,"No")</f>
        <v>1</v>
      </c>
      <c r="H12" s="97">
        <f>COUNTIF('Storage &amp; BackUp'!E:E,"no")</f>
        <v>2</v>
      </c>
      <c r="I12" s="95">
        <f>COUNTIF('Storage &amp; BackUp'!D:D,"No")</f>
        <v>0</v>
      </c>
      <c r="O12" s="99"/>
    </row>
    <row r="13" spans="2:15" s="91" customFormat="1" x14ac:dyDescent="0.2">
      <c r="B13" s="125" t="s">
        <v>177</v>
      </c>
      <c r="C13" s="101">
        <v>19</v>
      </c>
      <c r="D13" s="116">
        <v>34</v>
      </c>
      <c r="F13" s="129" t="s">
        <v>77</v>
      </c>
      <c r="G13" s="97">
        <f>COUNTIF('Enterprise Messaging'!C:C,"No")</f>
        <v>0</v>
      </c>
      <c r="H13" s="97">
        <f>COUNTIF('Enterprise Messaging'!E:E,"No")</f>
        <v>1</v>
      </c>
      <c r="I13" s="95">
        <f>COUNTIF('Enterprise Messaging'!D:D,"No")</f>
        <v>0</v>
      </c>
      <c r="O13" s="99"/>
    </row>
    <row r="14" spans="2:15" s="91" customFormat="1" ht="13.5" thickBot="1" x14ac:dyDescent="0.25">
      <c r="B14" s="126" t="s">
        <v>54</v>
      </c>
      <c r="C14" s="119">
        <v>9</v>
      </c>
      <c r="D14" s="117">
        <v>13</v>
      </c>
      <c r="F14" s="129" t="s">
        <v>425</v>
      </c>
      <c r="G14" s="97">
        <f>COUNTIF('Database Administration Server'!C:C,"No")</f>
        <v>0</v>
      </c>
      <c r="H14" s="97">
        <f>COUNTIF('Database Administration Server'!E:E,"No")</f>
        <v>0</v>
      </c>
      <c r="I14" s="95">
        <f>COUNTIF('Database Administration Server'!D:D,"no")</f>
        <v>0</v>
      </c>
      <c r="O14" s="99"/>
    </row>
    <row r="15" spans="2:15" s="91" customFormat="1" ht="13.5" thickBot="1" x14ac:dyDescent="0.25">
      <c r="B15" s="123" t="s">
        <v>178</v>
      </c>
      <c r="C15" s="131">
        <v>64</v>
      </c>
      <c r="D15" s="100">
        <v>54</v>
      </c>
      <c r="F15" s="129" t="s">
        <v>69</v>
      </c>
      <c r="G15" s="97">
        <f>COUNTIF('Information Security Support'!C:C,"No")</f>
        <v>0</v>
      </c>
      <c r="H15" s="97">
        <f>COUNTIF('Information Security Support'!E:E,"No")</f>
        <v>0</v>
      </c>
      <c r="I15" s="95">
        <f>COUNTIF('Information Security Support'!D:D,"No")</f>
        <v>0</v>
      </c>
      <c r="O15" s="99"/>
    </row>
    <row r="16" spans="2:15" s="91" customFormat="1" ht="13.5" thickBot="1" x14ac:dyDescent="0.25">
      <c r="B16" s="161" t="s">
        <v>439</v>
      </c>
      <c r="C16" s="162"/>
      <c r="D16" s="163"/>
      <c r="F16" s="129" t="s">
        <v>60</v>
      </c>
      <c r="G16" s="97">
        <f>COUNTIF(Monitoring!C:C,"No")</f>
        <v>0</v>
      </c>
      <c r="H16" s="97">
        <f>COUNTIF(Monitoring!E:E,"No")</f>
        <v>0</v>
      </c>
      <c r="I16" s="95">
        <f>COUNTIF(Monitoring!F:F,"No")</f>
        <v>0</v>
      </c>
      <c r="O16" s="99"/>
    </row>
    <row r="17" spans="2:15" s="91" customFormat="1" ht="13.5" thickBot="1" x14ac:dyDescent="0.25">
      <c r="B17" s="164"/>
      <c r="C17" s="165"/>
      <c r="D17" s="166"/>
      <c r="F17" s="92" t="s">
        <v>437</v>
      </c>
      <c r="G17" s="96">
        <f>SUM(G8:G16)</f>
        <v>8</v>
      </c>
      <c r="H17" s="96">
        <f>SUM(H8:H16)</f>
        <v>51</v>
      </c>
      <c r="I17" s="94">
        <f>SUM(I8:I16)</f>
        <v>4</v>
      </c>
      <c r="O17" s="99"/>
    </row>
    <row r="18" spans="2:15" s="91" customFormat="1" ht="13.5" thickBot="1" x14ac:dyDescent="0.25">
      <c r="B18" s="111" t="s">
        <v>13</v>
      </c>
      <c r="C18" s="112" t="s">
        <v>435</v>
      </c>
      <c r="D18" s="113" t="s">
        <v>436</v>
      </c>
      <c r="F18" s="155" t="s">
        <v>440</v>
      </c>
      <c r="G18" s="156"/>
      <c r="H18" s="157"/>
      <c r="I18" s="103"/>
      <c r="J18" s="103"/>
      <c r="O18" s="99"/>
    </row>
    <row r="19" spans="2:15" s="91" customFormat="1" ht="13.5" thickBot="1" x14ac:dyDescent="0.25">
      <c r="B19" s="127" t="s">
        <v>177</v>
      </c>
      <c r="C19" s="107">
        <f>COUNTA('Unix Server Support'!A2:A100)</f>
        <v>53</v>
      </c>
      <c r="D19" s="108">
        <f>(GETPIVOTDATA("Met ",$B$5,"Assigned Team","Unix Server Support")/C19)</f>
        <v>0.35849056603773582</v>
      </c>
      <c r="F19" s="158"/>
      <c r="G19" s="159"/>
      <c r="H19" s="160"/>
      <c r="I19" s="103"/>
      <c r="J19" s="103"/>
      <c r="O19" s="99"/>
    </row>
    <row r="20" spans="2:15" s="91" customFormat="1" ht="13.5" thickBot="1" x14ac:dyDescent="0.25">
      <c r="B20" s="127" t="s">
        <v>40</v>
      </c>
      <c r="C20" s="107">
        <f>COUNTA('Network Device Support'!A2:A100)</f>
        <v>22</v>
      </c>
      <c r="D20" s="108">
        <f>(GETPIVOTDATA("Met ",$B$5,"Assigned Team","Network Device Support")/C20)</f>
        <v>0.90909090909090906</v>
      </c>
      <c r="F20" s="92" t="s">
        <v>432</v>
      </c>
      <c r="G20" s="96" t="s">
        <v>429</v>
      </c>
      <c r="H20" s="96" t="s">
        <v>428</v>
      </c>
      <c r="I20" s="96" t="s">
        <v>431</v>
      </c>
      <c r="J20" s="94" t="s">
        <v>430</v>
      </c>
      <c r="O20" s="99"/>
    </row>
    <row r="21" spans="2:15" s="91" customFormat="1" ht="15.75" customHeight="1" x14ac:dyDescent="0.2">
      <c r="B21" s="127" t="s">
        <v>54</v>
      </c>
      <c r="C21" s="107">
        <f>COUNTA('Wintel Server Support'!A2:A100)</f>
        <v>22</v>
      </c>
      <c r="D21" s="108">
        <f>(GETPIVOTDATA("Met ",$B$5,"Assigned Team","Wintel Server Support")/C21)</f>
        <v>0.40909090909090912</v>
      </c>
      <c r="F21" s="129" t="s">
        <v>425</v>
      </c>
      <c r="G21" s="97">
        <f>COUNTIF('Database Administration Server'!C:C,"Yes")</f>
        <v>8</v>
      </c>
      <c r="H21" s="97">
        <f>COUNTIF('Database Administration Server'!F:F,"Yes")</f>
        <v>6</v>
      </c>
      <c r="I21" s="97">
        <f>COUNTIF('Database Administration Server'!E:E,"Yes")</f>
        <v>6</v>
      </c>
      <c r="J21" s="95">
        <f>COUNTIF('Database Administration Server'!D:D,"Yes")</f>
        <v>8</v>
      </c>
      <c r="O21" s="99"/>
    </row>
    <row r="22" spans="2:15" s="91" customFormat="1" x14ac:dyDescent="0.2">
      <c r="B22" s="127" t="s">
        <v>77</v>
      </c>
      <c r="C22" s="107">
        <f>COUNTA('Enterprise Messaging'!A2:A100)</f>
        <v>8</v>
      </c>
      <c r="D22" s="108">
        <f>(GETPIVOTDATA("Met ",$B$5,"Assigned Team","Enterprise Messaging")/C22)</f>
        <v>0.875</v>
      </c>
      <c r="F22" s="129" t="s">
        <v>77</v>
      </c>
      <c r="G22" s="97">
        <f>COUNTIF('Enterprise Messaging'!C:C,"Yes")</f>
        <v>8</v>
      </c>
      <c r="H22" s="97">
        <f>COUNTIF('Enterprise Messaging'!F:F,"Yes")</f>
        <v>8</v>
      </c>
      <c r="I22" s="97">
        <f>COUNTIF('Enterprise Messaging'!E:E,"Yes")</f>
        <v>7</v>
      </c>
      <c r="J22" s="95">
        <f>COUNTIF('Enterprise Messaging'!D:D,"Yes")</f>
        <v>8</v>
      </c>
      <c r="O22" s="99"/>
    </row>
    <row r="23" spans="2:15" s="91" customFormat="1" x14ac:dyDescent="0.2">
      <c r="B23" s="127" t="s">
        <v>42</v>
      </c>
      <c r="C23" s="107">
        <f>COUNTA('Service Desk'!A2:A100)</f>
        <v>3</v>
      </c>
      <c r="D23" s="108">
        <f>(GETPIVOTDATA("Met ",$B$5,"Assigned Team","Service Desk")/C23)</f>
        <v>0</v>
      </c>
      <c r="F23" s="129" t="s">
        <v>69</v>
      </c>
      <c r="G23" s="97">
        <f>COUNTIF('Information Security Support'!C:C,"Yes")</f>
        <v>0</v>
      </c>
      <c r="H23" s="97">
        <f>COUNTIFS('Information Security Support'!F:F,"Yes")</f>
        <v>0</v>
      </c>
      <c r="I23" s="97">
        <f>COUNTIF('Information Security Support'!E:E,"Yes")</f>
        <v>0</v>
      </c>
      <c r="J23" s="95">
        <f>COUNTIF('Information Security Support'!D:D,"Yes")</f>
        <v>0</v>
      </c>
      <c r="O23" s="99"/>
    </row>
    <row r="24" spans="2:15" s="91" customFormat="1" x14ac:dyDescent="0.2">
      <c r="B24" s="127" t="s">
        <v>425</v>
      </c>
      <c r="C24" s="107">
        <f>COUNTA('Database Administration Server'!A2:A100)</f>
        <v>8</v>
      </c>
      <c r="D24" s="108">
        <f>(GETPIVOTDATA("Met ",$B$5,"Assigned Team","Database Administration Server")/C24)</f>
        <v>1</v>
      </c>
      <c r="F24" s="129" t="s">
        <v>60</v>
      </c>
      <c r="G24" s="97">
        <f>COUNTIF(Monitoring!C:C,"Yes")</f>
        <v>0</v>
      </c>
      <c r="H24" s="97">
        <f>COUNTIF(Monitoring!F:F,"Yes")</f>
        <v>0</v>
      </c>
      <c r="I24" s="97">
        <f>COUNTIF(Monitoring!E:E,"Yes")</f>
        <v>0</v>
      </c>
      <c r="J24" s="95">
        <f>COUNTIF(Monitoring!F:F,"Yes")</f>
        <v>0</v>
      </c>
      <c r="O24" s="99"/>
    </row>
    <row r="25" spans="2:15" s="91" customFormat="1" x14ac:dyDescent="0.2">
      <c r="B25" s="127" t="s">
        <v>60</v>
      </c>
      <c r="C25" s="107">
        <f>COUNTA(Monitoring!A2:A100)</f>
        <v>0</v>
      </c>
      <c r="D25" s="108" t="e">
        <f>(GETPIVOTDATA("Met ",$B$5,"Assigned Team","Monitoring")/C25)</f>
        <v>#DIV/0!</v>
      </c>
      <c r="F25" s="129" t="s">
        <v>40</v>
      </c>
      <c r="G25" s="97">
        <f>COUNTIF('Network Device Support'!C:C,"Yes")</f>
        <v>19</v>
      </c>
      <c r="H25" s="97">
        <f>COUNTIF('Network Device Support'!F:F,"Yes")</f>
        <v>21</v>
      </c>
      <c r="I25" s="97">
        <f>COUNTIF('Network Device Support'!E:E,"Yes")</f>
        <v>14</v>
      </c>
      <c r="J25" s="95">
        <f>COUNTIF('Network Device Support'!D:D,"Yes")</f>
        <v>22</v>
      </c>
      <c r="O25" s="99"/>
    </row>
    <row r="26" spans="2:15" s="91" customFormat="1" x14ac:dyDescent="0.2">
      <c r="B26" s="127" t="s">
        <v>427</v>
      </c>
      <c r="C26" s="107">
        <f>COUNTA('Storage &amp; BackUp'!A2:A106)</f>
        <v>2</v>
      </c>
      <c r="D26" s="108">
        <f>(GETPIVOTDATA("Met ",$B$5,"Assigned Team","Storage &amp; BackUp")/C26)</f>
        <v>0.5</v>
      </c>
      <c r="F26" s="129" t="s">
        <v>42</v>
      </c>
      <c r="G26" s="97">
        <f>COUNTIF('Service Desk'!C:C,"Yes")</f>
        <v>0</v>
      </c>
      <c r="H26" s="97">
        <f>COUNTIF('Service Desk'!F:F,"Yes")</f>
        <v>2</v>
      </c>
      <c r="I26" s="97">
        <f>COUNTIF('Service Desk'!E:E,"Yes")</f>
        <v>0</v>
      </c>
      <c r="J26" s="95">
        <f>COUNTIF('Service Desk'!F:F,"Yes")</f>
        <v>2</v>
      </c>
      <c r="O26" s="99"/>
    </row>
    <row r="27" spans="2:15" s="91" customFormat="1" ht="13.5" thickBot="1" x14ac:dyDescent="0.25">
      <c r="B27" s="128" t="s">
        <v>69</v>
      </c>
      <c r="C27" s="109">
        <f>COUNTA('Information Security Support'!A2:A100)</f>
        <v>0</v>
      </c>
      <c r="D27" s="110" t="e">
        <f>(GETPIVOTDATA("Met ",$B$5,"Assigned Team","Information Security Support")/C27)</f>
        <v>#DIV/0!</v>
      </c>
      <c r="F27" s="129" t="s">
        <v>427</v>
      </c>
      <c r="G27" s="97">
        <f>COUNTIF('Storage &amp; BackUp'!C:C,"Yes")</f>
        <v>1</v>
      </c>
      <c r="H27" s="97">
        <f>COUNTIF('Storage &amp; BackUp'!F:F,"Yes")</f>
        <v>2</v>
      </c>
      <c r="I27" s="97">
        <f>COUNTIF('Storage &amp; BackUp'!E:E,"Yes")</f>
        <v>0</v>
      </c>
      <c r="J27" s="95">
        <f>COUNTIF('Storage &amp; BackUp'!D:D,"Yes")</f>
        <v>2</v>
      </c>
      <c r="O27" s="99"/>
    </row>
    <row r="28" spans="2:15" s="91" customFormat="1" x14ac:dyDescent="0.2">
      <c r="B28" s="98"/>
      <c r="F28" s="129" t="s">
        <v>177</v>
      </c>
      <c r="G28" s="97">
        <f>COUNTIF('Unix Server Support'!C:C,"Yes")</f>
        <v>37</v>
      </c>
      <c r="H28" s="97">
        <f>COUNTIF('Unix Server Support'!F:F,"Yes")</f>
        <v>50</v>
      </c>
      <c r="I28" s="97">
        <f>COUNTIF('Unix Server Support'!E:E,"Yes")</f>
        <v>20</v>
      </c>
      <c r="J28" s="95">
        <f>COUNTIF('Unix Server Support'!D:D,"Yes")</f>
        <v>51</v>
      </c>
      <c r="O28" s="99"/>
    </row>
    <row r="29" spans="2:15" s="91" customFormat="1" ht="13.5" thickBot="1" x14ac:dyDescent="0.25">
      <c r="B29" s="98"/>
      <c r="F29" s="130" t="s">
        <v>54</v>
      </c>
      <c r="G29" s="105">
        <f>COUNTIF('Wintel Server Support'!C:C,"Yes")</f>
        <v>14</v>
      </c>
      <c r="H29" s="105">
        <f>COUNTIF('Wintel Server Support'!F:F,"Yes")</f>
        <v>19</v>
      </c>
      <c r="I29" s="105">
        <f>COUNTIF('Wintel Server Support'!E:E,"Yes")</f>
        <v>6</v>
      </c>
      <c r="J29" s="106">
        <f>COUNTIF('Wintel Server Support'!D:D,"Yes")</f>
        <v>20</v>
      </c>
      <c r="K29" s="104"/>
      <c r="O29" s="99"/>
    </row>
    <row r="30" spans="2:15" s="91" customFormat="1" x14ac:dyDescent="0.2">
      <c r="B30" s="98"/>
      <c r="K30" s="104"/>
      <c r="O30" s="99"/>
    </row>
    <row r="31" spans="2:15" s="91" customFormat="1" x14ac:dyDescent="0.2">
      <c r="B31" s="98"/>
      <c r="K31" s="104"/>
      <c r="O31" s="99"/>
    </row>
    <row r="32" spans="2:15" s="91" customFormat="1" x14ac:dyDescent="0.2">
      <c r="B32" s="98"/>
      <c r="K32" s="104"/>
      <c r="O32" s="99"/>
    </row>
    <row r="33" spans="2:15" s="91" customFormat="1" x14ac:dyDescent="0.2">
      <c r="B33" s="98"/>
      <c r="K33" s="104"/>
      <c r="O33" s="99"/>
    </row>
    <row r="34" spans="2:15" s="91" customFormat="1" x14ac:dyDescent="0.2">
      <c r="B34" s="98"/>
      <c r="K34" s="104"/>
      <c r="O34" s="99"/>
    </row>
    <row r="35" spans="2:15" s="91" customFormat="1" x14ac:dyDescent="0.2">
      <c r="B35" s="98"/>
      <c r="K35" s="104"/>
      <c r="O35" s="99"/>
    </row>
    <row r="36" spans="2:15" s="91" customFormat="1" x14ac:dyDescent="0.2">
      <c r="B36" s="98"/>
      <c r="K36" s="104"/>
      <c r="O36" s="99"/>
    </row>
    <row r="37" spans="2:15" s="91" customFormat="1" x14ac:dyDescent="0.2">
      <c r="B37" s="98"/>
      <c r="K37" s="104"/>
      <c r="O37" s="99"/>
    </row>
    <row r="38" spans="2:15" s="91" customFormat="1" x14ac:dyDescent="0.2">
      <c r="B38" s="98"/>
      <c r="K38" s="104"/>
      <c r="O38" s="99"/>
    </row>
    <row r="39" spans="2:15" s="91" customFormat="1" x14ac:dyDescent="0.2">
      <c r="B39" s="98"/>
      <c r="K39" s="104"/>
      <c r="O39" s="99"/>
    </row>
    <row r="40" spans="2:15" s="91" customFormat="1" x14ac:dyDescent="0.2">
      <c r="B40" s="98"/>
      <c r="K40" s="104"/>
      <c r="O40" s="99"/>
    </row>
    <row r="41" spans="2:15" s="91" customFormat="1" x14ac:dyDescent="0.2">
      <c r="B41" s="98"/>
      <c r="K41" s="104"/>
      <c r="O41" s="99"/>
    </row>
    <row r="42" spans="2:15" s="91" customFormat="1" x14ac:dyDescent="0.2">
      <c r="B42" s="98"/>
      <c r="K42" s="104"/>
      <c r="O42" s="99"/>
    </row>
    <row r="43" spans="2:15" s="91" customFormat="1" x14ac:dyDescent="0.2">
      <c r="B43" s="98"/>
      <c r="K43" s="104"/>
      <c r="O43" s="99"/>
    </row>
    <row r="44" spans="2:15" s="91" customFormat="1" x14ac:dyDescent="0.2">
      <c r="B44" s="98"/>
      <c r="K44" s="104"/>
      <c r="O44" s="99"/>
    </row>
    <row r="45" spans="2:15" s="91" customFormat="1" x14ac:dyDescent="0.2">
      <c r="B45" s="98"/>
      <c r="K45" s="104"/>
      <c r="O45" s="99"/>
    </row>
    <row r="46" spans="2:15" s="91" customFormat="1" x14ac:dyDescent="0.2">
      <c r="B46" s="98"/>
      <c r="K46" s="104"/>
      <c r="O46" s="99"/>
    </row>
    <row r="47" spans="2:15" s="91" customFormat="1" ht="12.75" customHeight="1" x14ac:dyDescent="0.2">
      <c r="B47" s="98"/>
      <c r="K47" s="103"/>
      <c r="O47" s="99"/>
    </row>
    <row r="48" spans="2:15" s="91" customFormat="1" ht="13.5" customHeight="1" thickBot="1" x14ac:dyDescent="0.25">
      <c r="B48" s="98"/>
      <c r="K48" s="103"/>
      <c r="O48" s="99"/>
    </row>
    <row r="49" spans="2:15" s="91" customFormat="1" ht="13.5" thickBot="1" x14ac:dyDescent="0.25">
      <c r="B49" s="140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2"/>
    </row>
    <row r="50" spans="2:15" s="91" customFormat="1" ht="13.5" thickBot="1" x14ac:dyDescent="0.25">
      <c r="B50" s="133" t="e">
        <f>(GETPIVOTDATA("Met ",$B$5,"Assigned Team","Monitoring")/A53)</f>
        <v>#DIV/0!</v>
      </c>
      <c r="C50" s="134" t="s">
        <v>627</v>
      </c>
    </row>
    <row r="51" spans="2:15" s="91" customFormat="1" x14ac:dyDescent="0.2"/>
    <row r="52" spans="2:15" ht="12.75" customHeight="1" x14ac:dyDescent="0.2"/>
    <row r="53" spans="2:15" ht="13.5" customHeight="1" x14ac:dyDescent="0.2"/>
    <row r="56" spans="2:15" x14ac:dyDescent="0.2">
      <c r="H56" t="s">
        <v>469</v>
      </c>
    </row>
    <row r="64" spans="2:15" ht="13.5" customHeight="1" x14ac:dyDescent="0.2"/>
    <row r="65" spans="2:11" ht="13.5" customHeight="1" x14ac:dyDescent="0.2"/>
    <row r="73" spans="2:11" x14ac:dyDescent="0.2">
      <c r="J73" s="93"/>
      <c r="K73" s="93"/>
    </row>
    <row r="74" spans="2:11" x14ac:dyDescent="0.2">
      <c r="J74" s="104"/>
      <c r="K74" s="104"/>
    </row>
    <row r="75" spans="2:11" x14ac:dyDescent="0.2">
      <c r="J75" s="104"/>
      <c r="K75" s="104"/>
    </row>
    <row r="76" spans="2:11" x14ac:dyDescent="0.2">
      <c r="J76" s="104"/>
      <c r="K76" s="104"/>
    </row>
    <row r="77" spans="2:11" x14ac:dyDescent="0.2">
      <c r="B77" s="102"/>
      <c r="C77" s="102"/>
      <c r="D77" s="102"/>
      <c r="J77" s="104"/>
      <c r="K77" s="104"/>
    </row>
    <row r="78" spans="2:11" x14ac:dyDescent="0.2">
      <c r="B78" s="102"/>
      <c r="C78" s="102"/>
      <c r="D78" s="102"/>
      <c r="J78" s="104"/>
      <c r="K78" s="104"/>
    </row>
    <row r="79" spans="2:11" x14ac:dyDescent="0.2">
      <c r="B79" s="102"/>
      <c r="C79" s="102"/>
      <c r="D79" s="102"/>
      <c r="J79" s="104"/>
      <c r="K79" s="104"/>
    </row>
    <row r="80" spans="2:11" x14ac:dyDescent="0.2">
      <c r="B80" s="102"/>
      <c r="C80" s="102"/>
      <c r="D80" s="102"/>
      <c r="J80" s="104"/>
      <c r="K80" s="104"/>
    </row>
    <row r="81" spans="2:11" x14ac:dyDescent="0.2">
      <c r="B81" s="102"/>
      <c r="C81" s="102"/>
      <c r="D81" s="102"/>
      <c r="J81" s="104"/>
      <c r="K81" s="104"/>
    </row>
    <row r="82" spans="2:11" x14ac:dyDescent="0.2">
      <c r="B82" s="102"/>
      <c r="C82" s="102"/>
      <c r="D82" s="102"/>
      <c r="J82" s="104"/>
      <c r="K82" s="104"/>
    </row>
    <row r="83" spans="2:11" x14ac:dyDescent="0.2">
      <c r="B83" s="102"/>
      <c r="C83" s="102"/>
      <c r="D83" s="102"/>
      <c r="J83" s="104"/>
      <c r="K83" s="104"/>
    </row>
    <row r="84" spans="2:11" x14ac:dyDescent="0.2">
      <c r="B84" s="102"/>
      <c r="C84" s="102"/>
      <c r="D84" s="102"/>
    </row>
  </sheetData>
  <autoFilter ref="B52:E76">
    <filterColumn colId="0" showButton="0"/>
    <filterColumn colId="1" showButton="0"/>
  </autoFilter>
  <sortState ref="F8:I15">
    <sortCondition descending="1" ref="H8:H15"/>
  </sortState>
  <mergeCells count="5">
    <mergeCell ref="B49:O49"/>
    <mergeCell ref="B2:O3"/>
    <mergeCell ref="F5:H6"/>
    <mergeCell ref="F18:H19"/>
    <mergeCell ref="B16:D17"/>
  </mergeCells>
  <pageMargins left="0.7" right="0.7" top="0.75" bottom="0.75" header="0.3" footer="0.3"/>
  <pageSetup paperSize="9" orientation="portrait" r:id="rId2"/>
  <ignoredErrors>
    <ignoredError sqref="I24:I26" formula="1"/>
  </ignoredError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21"/>
  <sheetViews>
    <sheetView workbookViewId="0"/>
  </sheetViews>
  <sheetFormatPr defaultRowHeight="12.75" x14ac:dyDescent="0.2"/>
  <cols>
    <col min="1" max="1" width="10" style="31" bestFit="1" customWidth="1"/>
    <col min="2" max="2" width="28.42578125" style="31" customWidth="1"/>
    <col min="3" max="3" width="27.42578125" style="31" bestFit="1" customWidth="1"/>
    <col min="4" max="4" width="105.7109375" style="31" customWidth="1"/>
    <col min="5" max="6" width="9.140625" style="31"/>
    <col min="7" max="7" width="32.5703125" style="31" bestFit="1" customWidth="1"/>
    <col min="8" max="16384" width="9.140625" style="31"/>
  </cols>
  <sheetData>
    <row r="1" spans="1:7" s="65" customFormat="1" x14ac:dyDescent="0.2">
      <c r="A1" s="86" t="s">
        <v>1</v>
      </c>
      <c r="B1" s="86" t="s">
        <v>8</v>
      </c>
      <c r="C1" s="86" t="s">
        <v>13</v>
      </c>
      <c r="D1" s="86" t="s">
        <v>12</v>
      </c>
      <c r="E1" s="86" t="s">
        <v>176</v>
      </c>
      <c r="F1" s="86" t="s">
        <v>17</v>
      </c>
      <c r="G1" s="86" t="s">
        <v>434</v>
      </c>
    </row>
    <row r="2" spans="1:7" x14ac:dyDescent="0.2">
      <c r="A2" s="132" t="s">
        <v>448</v>
      </c>
      <c r="B2" s="31" t="s">
        <v>403</v>
      </c>
      <c r="C2" s="31" t="s">
        <v>177</v>
      </c>
      <c r="D2" s="31" t="s">
        <v>0</v>
      </c>
      <c r="E2" s="31" t="s">
        <v>424</v>
      </c>
    </row>
    <row r="3" spans="1:7" x14ac:dyDescent="0.2">
      <c r="A3" s="31" t="s">
        <v>450</v>
      </c>
      <c r="B3" s="31" t="s">
        <v>403</v>
      </c>
      <c r="C3" s="31" t="s">
        <v>177</v>
      </c>
      <c r="D3" s="31" t="s">
        <v>0</v>
      </c>
      <c r="E3" s="31" t="s">
        <v>424</v>
      </c>
    </row>
    <row r="4" spans="1:7" x14ac:dyDescent="0.2">
      <c r="A4" s="31" t="s">
        <v>451</v>
      </c>
      <c r="B4" s="31" t="s">
        <v>403</v>
      </c>
      <c r="C4" s="31" t="s">
        <v>177</v>
      </c>
      <c r="D4" s="31" t="s">
        <v>0</v>
      </c>
      <c r="E4" s="31" t="s">
        <v>424</v>
      </c>
    </row>
    <row r="5" spans="1:7" x14ac:dyDescent="0.2">
      <c r="A5" s="31" t="s">
        <v>452</v>
      </c>
      <c r="B5" s="31" t="s">
        <v>403</v>
      </c>
      <c r="C5" s="31" t="s">
        <v>177</v>
      </c>
      <c r="D5" s="31" t="s">
        <v>0</v>
      </c>
      <c r="E5" s="31" t="s">
        <v>424</v>
      </c>
    </row>
    <row r="6" spans="1:7" x14ac:dyDescent="0.2">
      <c r="A6" s="31" t="s">
        <v>455</v>
      </c>
      <c r="B6" s="31" t="s">
        <v>456</v>
      </c>
      <c r="C6" s="31" t="s">
        <v>177</v>
      </c>
      <c r="D6" s="31" t="s">
        <v>0</v>
      </c>
      <c r="E6" s="31" t="s">
        <v>424</v>
      </c>
    </row>
    <row r="7" spans="1:7" ht="25.5" x14ac:dyDescent="0.2">
      <c r="A7" s="31" t="s">
        <v>458</v>
      </c>
      <c r="B7" s="31" t="s">
        <v>406</v>
      </c>
      <c r="C7" s="31" t="s">
        <v>177</v>
      </c>
      <c r="D7" s="89" t="s">
        <v>459</v>
      </c>
      <c r="F7" s="31" t="s">
        <v>424</v>
      </c>
    </row>
    <row r="8" spans="1:7" x14ac:dyDescent="0.2">
      <c r="A8" s="31" t="s">
        <v>460</v>
      </c>
      <c r="B8" s="31" t="s">
        <v>403</v>
      </c>
      <c r="C8" s="31" t="s">
        <v>177</v>
      </c>
      <c r="D8" s="31" t="s">
        <v>461</v>
      </c>
      <c r="F8" s="31" t="s">
        <v>424</v>
      </c>
    </row>
    <row r="9" spans="1:7" x14ac:dyDescent="0.2">
      <c r="A9" s="31" t="s">
        <v>477</v>
      </c>
      <c r="B9" s="31" t="s">
        <v>407</v>
      </c>
      <c r="C9" s="31" t="s">
        <v>177</v>
      </c>
      <c r="D9" s="31" t="s">
        <v>0</v>
      </c>
      <c r="E9" s="31" t="s">
        <v>424</v>
      </c>
    </row>
    <row r="10" spans="1:7" x14ac:dyDescent="0.2">
      <c r="A10" s="31" t="s">
        <v>478</v>
      </c>
      <c r="B10" s="31" t="s">
        <v>407</v>
      </c>
      <c r="C10" s="31" t="s">
        <v>177</v>
      </c>
      <c r="D10" s="31" t="s">
        <v>0</v>
      </c>
      <c r="E10" s="31" t="s">
        <v>424</v>
      </c>
    </row>
    <row r="11" spans="1:7" x14ac:dyDescent="0.2">
      <c r="A11" s="31" t="s">
        <v>479</v>
      </c>
      <c r="B11" s="31" t="s">
        <v>407</v>
      </c>
      <c r="C11" s="31" t="s">
        <v>177</v>
      </c>
      <c r="D11" s="31" t="s">
        <v>0</v>
      </c>
      <c r="E11" s="31" t="s">
        <v>424</v>
      </c>
    </row>
    <row r="12" spans="1:7" x14ac:dyDescent="0.2">
      <c r="A12" s="31" t="s">
        <v>486</v>
      </c>
      <c r="B12" s="31" t="s">
        <v>407</v>
      </c>
      <c r="C12" s="31" t="s">
        <v>177</v>
      </c>
      <c r="D12" s="31" t="s">
        <v>0</v>
      </c>
      <c r="E12" s="31" t="s">
        <v>424</v>
      </c>
    </row>
    <row r="13" spans="1:7" x14ac:dyDescent="0.2">
      <c r="A13" s="31" t="s">
        <v>487</v>
      </c>
      <c r="B13" s="31" t="s">
        <v>407</v>
      </c>
      <c r="C13" s="31" t="s">
        <v>177</v>
      </c>
      <c r="D13" s="31" t="s">
        <v>0</v>
      </c>
      <c r="E13" s="31" t="s">
        <v>424</v>
      </c>
    </row>
    <row r="14" spans="1:7" x14ac:dyDescent="0.2">
      <c r="A14" s="31" t="s">
        <v>488</v>
      </c>
      <c r="B14" s="31" t="s">
        <v>408</v>
      </c>
      <c r="C14" s="31" t="s">
        <v>177</v>
      </c>
      <c r="D14" s="31" t="s">
        <v>481</v>
      </c>
      <c r="F14" s="31" t="s">
        <v>424</v>
      </c>
    </row>
    <row r="15" spans="1:7" x14ac:dyDescent="0.2">
      <c r="A15" s="31" t="s">
        <v>489</v>
      </c>
      <c r="B15" s="31" t="s">
        <v>403</v>
      </c>
      <c r="C15" s="31" t="s">
        <v>177</v>
      </c>
      <c r="D15" s="31" t="s">
        <v>0</v>
      </c>
      <c r="E15" s="31" t="s">
        <v>424</v>
      </c>
    </row>
    <row r="16" spans="1:7" x14ac:dyDescent="0.2">
      <c r="A16" s="31" t="s">
        <v>490</v>
      </c>
      <c r="B16" s="31" t="s">
        <v>408</v>
      </c>
      <c r="C16" s="31" t="s">
        <v>177</v>
      </c>
      <c r="D16" s="31" t="s">
        <v>491</v>
      </c>
      <c r="F16" s="31" t="s">
        <v>424</v>
      </c>
    </row>
    <row r="17" spans="1:6" x14ac:dyDescent="0.2">
      <c r="A17" s="31" t="s">
        <v>498</v>
      </c>
      <c r="B17" s="31" t="s">
        <v>499</v>
      </c>
      <c r="C17" s="31" t="s">
        <v>177</v>
      </c>
      <c r="D17" s="31" t="s">
        <v>500</v>
      </c>
      <c r="F17" s="31" t="s">
        <v>424</v>
      </c>
    </row>
    <row r="18" spans="1:6" x14ac:dyDescent="0.2">
      <c r="A18" s="31" t="s">
        <v>510</v>
      </c>
      <c r="B18" s="31" t="s">
        <v>499</v>
      </c>
      <c r="C18" s="31" t="s">
        <v>177</v>
      </c>
      <c r="D18" s="31" t="s">
        <v>511</v>
      </c>
      <c r="F18" s="31" t="s">
        <v>424</v>
      </c>
    </row>
    <row r="19" spans="1:6" x14ac:dyDescent="0.2">
      <c r="A19" s="31" t="s">
        <v>513</v>
      </c>
      <c r="B19" s="31" t="s">
        <v>499</v>
      </c>
      <c r="C19" s="31" t="s">
        <v>177</v>
      </c>
      <c r="D19" s="31" t="s">
        <v>514</v>
      </c>
      <c r="F19" s="31" t="s">
        <v>424</v>
      </c>
    </row>
    <row r="20" spans="1:6" x14ac:dyDescent="0.2">
      <c r="A20" s="31" t="s">
        <v>515</v>
      </c>
      <c r="B20" s="31" t="s">
        <v>405</v>
      </c>
      <c r="C20" s="31" t="s">
        <v>177</v>
      </c>
      <c r="D20" s="31" t="s">
        <v>516</v>
      </c>
      <c r="F20" s="31" t="s">
        <v>424</v>
      </c>
    </row>
    <row r="21" spans="1:6" x14ac:dyDescent="0.2">
      <c r="A21" s="31" t="s">
        <v>517</v>
      </c>
      <c r="B21" s="31" t="s">
        <v>405</v>
      </c>
      <c r="C21" s="31" t="s">
        <v>177</v>
      </c>
      <c r="D21" s="31" t="s">
        <v>516</v>
      </c>
      <c r="F21" s="31" t="s">
        <v>424</v>
      </c>
    </row>
    <row r="22" spans="1:6" x14ac:dyDescent="0.2">
      <c r="A22" s="31" t="s">
        <v>522</v>
      </c>
      <c r="B22" s="31" t="s">
        <v>403</v>
      </c>
      <c r="C22" s="31" t="s">
        <v>177</v>
      </c>
      <c r="D22" s="31" t="s">
        <v>523</v>
      </c>
      <c r="F22" s="31" t="s">
        <v>424</v>
      </c>
    </row>
    <row r="23" spans="1:6" x14ac:dyDescent="0.2">
      <c r="A23" s="31" t="s">
        <v>524</v>
      </c>
      <c r="B23" s="31" t="s">
        <v>401</v>
      </c>
      <c r="C23" s="31" t="s">
        <v>177</v>
      </c>
      <c r="D23" s="31" t="s">
        <v>525</v>
      </c>
      <c r="F23" s="31" t="s">
        <v>424</v>
      </c>
    </row>
    <row r="24" spans="1:6" x14ac:dyDescent="0.2">
      <c r="A24" s="31" t="s">
        <v>530</v>
      </c>
      <c r="B24" s="31" t="s">
        <v>407</v>
      </c>
      <c r="C24" s="31" t="s">
        <v>177</v>
      </c>
      <c r="D24" s="31" t="s">
        <v>531</v>
      </c>
      <c r="F24" s="31" t="s">
        <v>424</v>
      </c>
    </row>
    <row r="25" spans="1:6" x14ac:dyDescent="0.2">
      <c r="A25" s="31" t="s">
        <v>534</v>
      </c>
      <c r="B25" s="31" t="s">
        <v>535</v>
      </c>
      <c r="C25" s="31" t="s">
        <v>177</v>
      </c>
      <c r="D25" s="31" t="s">
        <v>505</v>
      </c>
      <c r="F25" s="31" t="s">
        <v>424</v>
      </c>
    </row>
    <row r="26" spans="1:6" x14ac:dyDescent="0.2">
      <c r="A26" s="31" t="s">
        <v>536</v>
      </c>
      <c r="B26" s="31" t="s">
        <v>403</v>
      </c>
      <c r="C26" s="31" t="s">
        <v>177</v>
      </c>
      <c r="D26" s="31" t="s">
        <v>0</v>
      </c>
      <c r="E26" s="31" t="s">
        <v>424</v>
      </c>
    </row>
    <row r="27" spans="1:6" x14ac:dyDescent="0.2">
      <c r="A27" s="31" t="s">
        <v>538</v>
      </c>
      <c r="B27" s="31" t="s">
        <v>405</v>
      </c>
      <c r="C27" s="31" t="s">
        <v>177</v>
      </c>
      <c r="D27" s="31" t="s">
        <v>516</v>
      </c>
      <c r="F27" s="31" t="s">
        <v>424</v>
      </c>
    </row>
    <row r="28" spans="1:6" x14ac:dyDescent="0.2">
      <c r="A28" s="31" t="s">
        <v>541</v>
      </c>
      <c r="B28" s="31" t="s">
        <v>402</v>
      </c>
      <c r="C28" s="31" t="s">
        <v>177</v>
      </c>
      <c r="D28" s="31" t="s">
        <v>481</v>
      </c>
      <c r="F28" s="31" t="s">
        <v>424</v>
      </c>
    </row>
    <row r="29" spans="1:6" x14ac:dyDescent="0.2">
      <c r="A29" s="31" t="s">
        <v>544</v>
      </c>
      <c r="B29" s="31" t="s">
        <v>545</v>
      </c>
      <c r="C29" s="31" t="s">
        <v>177</v>
      </c>
      <c r="D29" s="31" t="s">
        <v>546</v>
      </c>
      <c r="F29" s="31" t="s">
        <v>424</v>
      </c>
    </row>
    <row r="30" spans="1:6" x14ac:dyDescent="0.2">
      <c r="A30" s="31" t="s">
        <v>547</v>
      </c>
      <c r="B30" s="31" t="s">
        <v>405</v>
      </c>
      <c r="C30" s="31" t="s">
        <v>177</v>
      </c>
      <c r="D30" s="31" t="s">
        <v>481</v>
      </c>
      <c r="F30" s="31" t="s">
        <v>424</v>
      </c>
    </row>
    <row r="31" spans="1:6" x14ac:dyDescent="0.2">
      <c r="A31" s="31" t="s">
        <v>550</v>
      </c>
      <c r="B31" s="31" t="s">
        <v>406</v>
      </c>
      <c r="C31" s="31" t="s">
        <v>177</v>
      </c>
      <c r="D31" s="31" t="s">
        <v>551</v>
      </c>
      <c r="F31" s="31" t="s">
        <v>424</v>
      </c>
    </row>
    <row r="32" spans="1:6" x14ac:dyDescent="0.2">
      <c r="A32" s="31" t="s">
        <v>552</v>
      </c>
      <c r="B32" s="31" t="s">
        <v>408</v>
      </c>
      <c r="C32" s="31" t="s">
        <v>177</v>
      </c>
      <c r="D32" s="31" t="s">
        <v>481</v>
      </c>
      <c r="F32" s="31" t="s">
        <v>424</v>
      </c>
    </row>
    <row r="33" spans="1:6" x14ac:dyDescent="0.2">
      <c r="A33" s="31" t="s">
        <v>561</v>
      </c>
      <c r="B33" s="31" t="s">
        <v>408</v>
      </c>
      <c r="C33" s="31" t="s">
        <v>177</v>
      </c>
      <c r="D33" s="31" t="s">
        <v>481</v>
      </c>
      <c r="F33" s="31" t="s">
        <v>424</v>
      </c>
    </row>
    <row r="34" spans="1:6" x14ac:dyDescent="0.2">
      <c r="A34" s="31" t="s">
        <v>566</v>
      </c>
      <c r="B34" s="31" t="s">
        <v>407</v>
      </c>
      <c r="C34" s="31" t="s">
        <v>177</v>
      </c>
      <c r="D34" s="31" t="s">
        <v>567</v>
      </c>
      <c r="F34" s="31" t="s">
        <v>424</v>
      </c>
    </row>
    <row r="35" spans="1:6" x14ac:dyDescent="0.2">
      <c r="A35" s="31" t="s">
        <v>572</v>
      </c>
      <c r="B35" s="31" t="s">
        <v>405</v>
      </c>
      <c r="C35" s="31" t="s">
        <v>177</v>
      </c>
      <c r="D35" s="31" t="s">
        <v>481</v>
      </c>
      <c r="F35" s="31" t="s">
        <v>424</v>
      </c>
    </row>
    <row r="36" spans="1:6" x14ac:dyDescent="0.2">
      <c r="A36" s="31" t="s">
        <v>573</v>
      </c>
      <c r="B36" s="31" t="s">
        <v>405</v>
      </c>
      <c r="C36" s="31" t="s">
        <v>177</v>
      </c>
      <c r="D36" s="31" t="s">
        <v>481</v>
      </c>
      <c r="F36" s="31" t="s">
        <v>424</v>
      </c>
    </row>
    <row r="37" spans="1:6" x14ac:dyDescent="0.2">
      <c r="A37" s="31" t="s">
        <v>574</v>
      </c>
      <c r="B37" s="31" t="s">
        <v>405</v>
      </c>
      <c r="C37" s="31" t="s">
        <v>177</v>
      </c>
      <c r="D37" s="31" t="s">
        <v>516</v>
      </c>
      <c r="F37" s="31" t="s">
        <v>424</v>
      </c>
    </row>
    <row r="38" spans="1:6" x14ac:dyDescent="0.2">
      <c r="A38" s="31" t="s">
        <v>581</v>
      </c>
      <c r="B38" s="31" t="s">
        <v>405</v>
      </c>
      <c r="C38" s="31" t="s">
        <v>177</v>
      </c>
      <c r="D38" s="31" t="s">
        <v>582</v>
      </c>
      <c r="F38" s="31" t="s">
        <v>424</v>
      </c>
    </row>
    <row r="39" spans="1:6" x14ac:dyDescent="0.2">
      <c r="A39" s="31" t="s">
        <v>583</v>
      </c>
      <c r="B39" s="31" t="s">
        <v>405</v>
      </c>
      <c r="C39" s="31" t="s">
        <v>177</v>
      </c>
      <c r="D39" s="31" t="s">
        <v>584</v>
      </c>
      <c r="F39" s="31" t="s">
        <v>424</v>
      </c>
    </row>
    <row r="40" spans="1:6" x14ac:dyDescent="0.2">
      <c r="A40" s="31" t="s">
        <v>585</v>
      </c>
      <c r="B40" s="31" t="s">
        <v>405</v>
      </c>
      <c r="C40" s="31" t="s">
        <v>177</v>
      </c>
      <c r="D40" s="31" t="s">
        <v>586</v>
      </c>
      <c r="F40" s="31" t="s">
        <v>424</v>
      </c>
    </row>
    <row r="41" spans="1:6" x14ac:dyDescent="0.2">
      <c r="A41" s="31" t="s">
        <v>587</v>
      </c>
      <c r="B41" s="31" t="s">
        <v>499</v>
      </c>
      <c r="C41" s="31" t="s">
        <v>177</v>
      </c>
      <c r="D41" s="31" t="s">
        <v>0</v>
      </c>
      <c r="E41" s="31" t="s">
        <v>424</v>
      </c>
    </row>
    <row r="42" spans="1:6" x14ac:dyDescent="0.2">
      <c r="A42" s="31" t="s">
        <v>591</v>
      </c>
      <c r="B42" s="31" t="s">
        <v>403</v>
      </c>
      <c r="C42" s="31" t="s">
        <v>177</v>
      </c>
      <c r="D42" s="31" t="s">
        <v>592</v>
      </c>
      <c r="F42" s="31" t="s">
        <v>424</v>
      </c>
    </row>
    <row r="43" spans="1:6" x14ac:dyDescent="0.2">
      <c r="A43" s="31" t="s">
        <v>594</v>
      </c>
      <c r="B43" s="31" t="s">
        <v>408</v>
      </c>
      <c r="C43" s="31" t="s">
        <v>177</v>
      </c>
      <c r="D43" s="31" t="s">
        <v>0</v>
      </c>
      <c r="E43" s="31" t="s">
        <v>424</v>
      </c>
    </row>
    <row r="44" spans="1:6" x14ac:dyDescent="0.2">
      <c r="A44" s="31" t="s">
        <v>598</v>
      </c>
      <c r="B44" s="31" t="s">
        <v>499</v>
      </c>
      <c r="C44" s="31" t="s">
        <v>177</v>
      </c>
      <c r="D44" s="31" t="s">
        <v>599</v>
      </c>
      <c r="F44" s="31" t="s">
        <v>424</v>
      </c>
    </row>
    <row r="45" spans="1:6" x14ac:dyDescent="0.2">
      <c r="A45" s="31" t="s">
        <v>602</v>
      </c>
      <c r="B45" s="31" t="s">
        <v>405</v>
      </c>
      <c r="C45" s="31" t="s">
        <v>177</v>
      </c>
      <c r="D45" s="31" t="s">
        <v>603</v>
      </c>
      <c r="F45" s="31" t="s">
        <v>424</v>
      </c>
    </row>
    <row r="46" spans="1:6" x14ac:dyDescent="0.2">
      <c r="A46" s="31" t="s">
        <v>604</v>
      </c>
      <c r="B46" s="31" t="s">
        <v>405</v>
      </c>
      <c r="C46" s="31" t="s">
        <v>177</v>
      </c>
      <c r="D46" s="31" t="s">
        <v>605</v>
      </c>
      <c r="F46" s="31" t="s">
        <v>424</v>
      </c>
    </row>
    <row r="47" spans="1:6" x14ac:dyDescent="0.2">
      <c r="A47" s="31" t="s">
        <v>606</v>
      </c>
      <c r="B47" s="31" t="s">
        <v>403</v>
      </c>
      <c r="C47" s="31" t="s">
        <v>177</v>
      </c>
      <c r="D47" s="31" t="s">
        <v>0</v>
      </c>
      <c r="E47" s="31" t="s">
        <v>424</v>
      </c>
    </row>
    <row r="48" spans="1:6" x14ac:dyDescent="0.2">
      <c r="A48" s="31" t="s">
        <v>607</v>
      </c>
      <c r="B48" s="31" t="s">
        <v>407</v>
      </c>
      <c r="C48" s="31" t="s">
        <v>177</v>
      </c>
      <c r="D48" s="31" t="s">
        <v>0</v>
      </c>
      <c r="E48" s="31" t="s">
        <v>424</v>
      </c>
    </row>
    <row r="49" spans="1:6" x14ac:dyDescent="0.2">
      <c r="A49" s="31" t="s">
        <v>610</v>
      </c>
      <c r="B49" s="31" t="s">
        <v>402</v>
      </c>
      <c r="C49" s="31" t="s">
        <v>177</v>
      </c>
      <c r="D49" s="31" t="s">
        <v>505</v>
      </c>
      <c r="F49" s="31" t="s">
        <v>424</v>
      </c>
    </row>
    <row r="50" spans="1:6" x14ac:dyDescent="0.2">
      <c r="A50" s="31" t="s">
        <v>611</v>
      </c>
      <c r="B50" s="31" t="s">
        <v>402</v>
      </c>
      <c r="C50" s="31" t="s">
        <v>177</v>
      </c>
      <c r="D50" s="31" t="s">
        <v>516</v>
      </c>
      <c r="F50" s="31" t="s">
        <v>424</v>
      </c>
    </row>
    <row r="51" spans="1:6" x14ac:dyDescent="0.2">
      <c r="A51" s="31" t="s">
        <v>612</v>
      </c>
      <c r="B51" s="31" t="s">
        <v>403</v>
      </c>
      <c r="C51" s="31" t="s">
        <v>177</v>
      </c>
      <c r="D51" s="31" t="s">
        <v>0</v>
      </c>
      <c r="E51" s="31" t="s">
        <v>424</v>
      </c>
    </row>
    <row r="52" spans="1:6" x14ac:dyDescent="0.2">
      <c r="A52" s="31" t="s">
        <v>614</v>
      </c>
      <c r="B52" s="31" t="s">
        <v>403</v>
      </c>
      <c r="C52" s="31" t="s">
        <v>177</v>
      </c>
      <c r="D52" s="31" t="s">
        <v>0</v>
      </c>
      <c r="E52" s="31" t="s">
        <v>424</v>
      </c>
    </row>
    <row r="53" spans="1:6" x14ac:dyDescent="0.2">
      <c r="A53" s="31" t="s">
        <v>615</v>
      </c>
      <c r="B53" s="31" t="s">
        <v>616</v>
      </c>
      <c r="C53" s="31" t="s">
        <v>177</v>
      </c>
      <c r="D53" s="31" t="s">
        <v>521</v>
      </c>
      <c r="F53" s="31" t="s">
        <v>424</v>
      </c>
    </row>
    <row r="54" spans="1:6" x14ac:dyDescent="0.2">
      <c r="A54" s="31" t="s">
        <v>623</v>
      </c>
      <c r="B54" s="31" t="s">
        <v>407</v>
      </c>
      <c r="C54" s="31" t="s">
        <v>177</v>
      </c>
      <c r="D54" s="31" t="s">
        <v>0</v>
      </c>
      <c r="E54" s="31" t="s">
        <v>424</v>
      </c>
    </row>
    <row r="55" spans="1:6" x14ac:dyDescent="0.2">
      <c r="A55" s="31" t="s">
        <v>444</v>
      </c>
      <c r="B55" s="31" t="s">
        <v>445</v>
      </c>
      <c r="C55" s="31" t="s">
        <v>54</v>
      </c>
      <c r="D55" s="31" t="s">
        <v>446</v>
      </c>
      <c r="F55" s="31" t="s">
        <v>424</v>
      </c>
    </row>
    <row r="56" spans="1:6" x14ac:dyDescent="0.2">
      <c r="A56" s="31" t="s">
        <v>457</v>
      </c>
      <c r="B56" s="31" t="s">
        <v>419</v>
      </c>
      <c r="C56" s="31" t="s">
        <v>54</v>
      </c>
      <c r="D56" s="31" t="s">
        <v>0</v>
      </c>
      <c r="E56" s="31" t="s">
        <v>424</v>
      </c>
    </row>
    <row r="57" spans="1:6" x14ac:dyDescent="0.2">
      <c r="A57" s="31" t="s">
        <v>464</v>
      </c>
      <c r="B57" s="31" t="s">
        <v>416</v>
      </c>
      <c r="C57" s="31" t="s">
        <v>54</v>
      </c>
      <c r="D57" s="31" t="s">
        <v>465</v>
      </c>
      <c r="F57" s="31" t="s">
        <v>424</v>
      </c>
    </row>
    <row r="58" spans="1:6" x14ac:dyDescent="0.2">
      <c r="A58" s="31" t="s">
        <v>466</v>
      </c>
      <c r="B58" s="31" t="s">
        <v>467</v>
      </c>
      <c r="C58" s="31" t="s">
        <v>54</v>
      </c>
      <c r="D58" s="31" t="s">
        <v>468</v>
      </c>
      <c r="F58" s="31" t="s">
        <v>424</v>
      </c>
    </row>
    <row r="59" spans="1:6" x14ac:dyDescent="0.2">
      <c r="A59" s="31" t="s">
        <v>470</v>
      </c>
      <c r="B59" s="31" t="s">
        <v>421</v>
      </c>
      <c r="C59" s="31" t="s">
        <v>54</v>
      </c>
      <c r="D59" s="31" t="s">
        <v>471</v>
      </c>
      <c r="F59" s="31" t="s">
        <v>424</v>
      </c>
    </row>
    <row r="60" spans="1:6" x14ac:dyDescent="0.2">
      <c r="A60" s="31" t="s">
        <v>472</v>
      </c>
      <c r="B60" s="31" t="s">
        <v>473</v>
      </c>
      <c r="C60" s="31" t="s">
        <v>54</v>
      </c>
      <c r="D60" s="31" t="s">
        <v>474</v>
      </c>
      <c r="F60" s="31" t="s">
        <v>424</v>
      </c>
    </row>
    <row r="61" spans="1:6" x14ac:dyDescent="0.2">
      <c r="A61" s="31" t="s">
        <v>475</v>
      </c>
      <c r="B61" s="31" t="s">
        <v>419</v>
      </c>
      <c r="C61" s="31" t="s">
        <v>54</v>
      </c>
      <c r="D61" s="31" t="s">
        <v>476</v>
      </c>
      <c r="F61" s="31" t="s">
        <v>424</v>
      </c>
    </row>
    <row r="62" spans="1:6" x14ac:dyDescent="0.2">
      <c r="A62" s="31" t="s">
        <v>480</v>
      </c>
      <c r="B62" s="31" t="s">
        <v>413</v>
      </c>
      <c r="C62" s="31" t="s">
        <v>54</v>
      </c>
      <c r="D62" s="31" t="s">
        <v>481</v>
      </c>
      <c r="F62" s="31" t="s">
        <v>424</v>
      </c>
    </row>
    <row r="63" spans="1:6" x14ac:dyDescent="0.2">
      <c r="A63" s="31" t="s">
        <v>482</v>
      </c>
      <c r="B63" s="31" t="s">
        <v>414</v>
      </c>
      <c r="C63" s="31" t="s">
        <v>54</v>
      </c>
      <c r="D63" s="31" t="s">
        <v>483</v>
      </c>
      <c r="F63" s="31" t="s">
        <v>424</v>
      </c>
    </row>
    <row r="64" spans="1:6" x14ac:dyDescent="0.2">
      <c r="A64" s="31" t="s">
        <v>484</v>
      </c>
      <c r="B64" s="31" t="s">
        <v>412</v>
      </c>
      <c r="C64" s="31" t="s">
        <v>54</v>
      </c>
      <c r="D64" s="31" t="s">
        <v>485</v>
      </c>
      <c r="F64" s="31" t="s">
        <v>424</v>
      </c>
    </row>
    <row r="65" spans="1:6" x14ac:dyDescent="0.2">
      <c r="A65" s="31" t="s">
        <v>508</v>
      </c>
      <c r="B65" s="31" t="s">
        <v>412</v>
      </c>
      <c r="C65" s="31" t="s">
        <v>54</v>
      </c>
      <c r="D65" s="31" t="s">
        <v>509</v>
      </c>
      <c r="F65" s="31" t="s">
        <v>424</v>
      </c>
    </row>
    <row r="66" spans="1:6" x14ac:dyDescent="0.2">
      <c r="A66" s="31" t="s">
        <v>512</v>
      </c>
      <c r="B66" s="31" t="s">
        <v>417</v>
      </c>
      <c r="C66" s="31" t="s">
        <v>54</v>
      </c>
      <c r="D66" s="31" t="s">
        <v>0</v>
      </c>
      <c r="E66" s="31" t="s">
        <v>424</v>
      </c>
    </row>
    <row r="67" spans="1:6" x14ac:dyDescent="0.2">
      <c r="A67" s="31" t="s">
        <v>540</v>
      </c>
      <c r="B67" s="31" t="s">
        <v>412</v>
      </c>
      <c r="C67" s="31" t="s">
        <v>54</v>
      </c>
      <c r="D67" s="31" t="s">
        <v>0</v>
      </c>
      <c r="E67" s="31" t="s">
        <v>424</v>
      </c>
    </row>
    <row r="68" spans="1:6" x14ac:dyDescent="0.2">
      <c r="A68" s="31" t="s">
        <v>554</v>
      </c>
      <c r="B68" s="31" t="s">
        <v>420</v>
      </c>
      <c r="C68" s="31" t="s">
        <v>54</v>
      </c>
      <c r="D68" s="31" t="s">
        <v>0</v>
      </c>
      <c r="E68" s="31" t="s">
        <v>424</v>
      </c>
    </row>
    <row r="69" spans="1:6" x14ac:dyDescent="0.2">
      <c r="A69" s="31" t="s">
        <v>570</v>
      </c>
      <c r="B69" s="31" t="s">
        <v>416</v>
      </c>
      <c r="C69" s="31" t="s">
        <v>54</v>
      </c>
      <c r="D69" s="31" t="s">
        <v>0</v>
      </c>
      <c r="E69" s="31" t="s">
        <v>424</v>
      </c>
    </row>
    <row r="70" spans="1:6" x14ac:dyDescent="0.2">
      <c r="A70" s="31" t="s">
        <v>575</v>
      </c>
      <c r="B70" s="31" t="s">
        <v>416</v>
      </c>
      <c r="C70" s="31" t="s">
        <v>54</v>
      </c>
      <c r="D70" s="31" t="s">
        <v>0</v>
      </c>
      <c r="E70" s="31" t="s">
        <v>424</v>
      </c>
    </row>
    <row r="71" spans="1:6" x14ac:dyDescent="0.2">
      <c r="A71" s="31" t="s">
        <v>576</v>
      </c>
      <c r="B71" s="31" t="s">
        <v>416</v>
      </c>
      <c r="C71" s="31" t="s">
        <v>54</v>
      </c>
      <c r="D71" s="31" t="s">
        <v>577</v>
      </c>
      <c r="F71" s="31" t="s">
        <v>424</v>
      </c>
    </row>
    <row r="72" spans="1:6" x14ac:dyDescent="0.2">
      <c r="A72" s="31" t="s">
        <v>593</v>
      </c>
      <c r="B72" s="31" t="s">
        <v>445</v>
      </c>
      <c r="C72" s="31" t="s">
        <v>54</v>
      </c>
      <c r="D72" s="31" t="s">
        <v>0</v>
      </c>
      <c r="E72" s="31" t="s">
        <v>424</v>
      </c>
    </row>
    <row r="73" spans="1:6" x14ac:dyDescent="0.2">
      <c r="A73" s="31" t="s">
        <v>596</v>
      </c>
      <c r="B73" s="31" t="s">
        <v>413</v>
      </c>
      <c r="C73" s="31" t="s">
        <v>54</v>
      </c>
      <c r="D73" s="31" t="s">
        <v>597</v>
      </c>
      <c r="F73" s="31" t="s">
        <v>424</v>
      </c>
    </row>
    <row r="74" spans="1:6" x14ac:dyDescent="0.2">
      <c r="A74" s="31" t="s">
        <v>620</v>
      </c>
      <c r="B74" s="31" t="s">
        <v>420</v>
      </c>
      <c r="C74" s="31" t="s">
        <v>54</v>
      </c>
      <c r="D74" s="31" t="s">
        <v>621</v>
      </c>
      <c r="F74" s="31" t="s">
        <v>424</v>
      </c>
    </row>
    <row r="75" spans="1:6" x14ac:dyDescent="0.2">
      <c r="A75" s="31" t="s">
        <v>624</v>
      </c>
      <c r="B75" s="31" t="s">
        <v>467</v>
      </c>
      <c r="C75" s="31" t="s">
        <v>54</v>
      </c>
      <c r="D75" s="31" t="s">
        <v>0</v>
      </c>
      <c r="E75" s="31" t="s">
        <v>424</v>
      </c>
    </row>
    <row r="76" spans="1:6" x14ac:dyDescent="0.2">
      <c r="A76" s="31" t="s">
        <v>626</v>
      </c>
      <c r="B76" s="31" t="s">
        <v>421</v>
      </c>
      <c r="C76" s="31" t="s">
        <v>54</v>
      </c>
      <c r="D76" s="31" t="s">
        <v>0</v>
      </c>
      <c r="E76" s="31" t="s">
        <v>424</v>
      </c>
    </row>
    <row r="77" spans="1:6" x14ac:dyDescent="0.2">
      <c r="A77" s="31" t="s">
        <v>447</v>
      </c>
      <c r="B77" s="31" t="s">
        <v>392</v>
      </c>
      <c r="C77" s="31" t="s">
        <v>40</v>
      </c>
      <c r="D77" s="31" t="s">
        <v>0</v>
      </c>
      <c r="E77" s="31" t="s">
        <v>424</v>
      </c>
    </row>
    <row r="78" spans="1:6" x14ac:dyDescent="0.2">
      <c r="A78" s="31" t="s">
        <v>449</v>
      </c>
      <c r="B78" s="31" t="s">
        <v>390</v>
      </c>
      <c r="C78" s="31" t="s">
        <v>40</v>
      </c>
      <c r="D78" s="31" t="s">
        <v>0</v>
      </c>
      <c r="E78" s="31" t="s">
        <v>424</v>
      </c>
    </row>
    <row r="79" spans="1:6" x14ac:dyDescent="0.2">
      <c r="A79" s="31" t="s">
        <v>462</v>
      </c>
      <c r="B79" s="31" t="s">
        <v>391</v>
      </c>
      <c r="C79" s="31" t="s">
        <v>40</v>
      </c>
      <c r="D79" s="31" t="s">
        <v>0</v>
      </c>
      <c r="E79" s="31" t="s">
        <v>424</v>
      </c>
    </row>
    <row r="80" spans="1:6" x14ac:dyDescent="0.2">
      <c r="A80" s="31" t="s">
        <v>463</v>
      </c>
      <c r="B80" s="31" t="s">
        <v>394</v>
      </c>
      <c r="C80" s="31" t="s">
        <v>40</v>
      </c>
      <c r="D80" s="31" t="s">
        <v>0</v>
      </c>
      <c r="E80" s="31" t="s">
        <v>424</v>
      </c>
    </row>
    <row r="81" spans="1:6" x14ac:dyDescent="0.2">
      <c r="A81" s="31" t="s">
        <v>493</v>
      </c>
      <c r="B81" s="31" t="s">
        <v>494</v>
      </c>
      <c r="C81" s="31" t="s">
        <v>40</v>
      </c>
      <c r="D81" s="31" t="s">
        <v>0</v>
      </c>
      <c r="E81" s="31" t="s">
        <v>424</v>
      </c>
    </row>
    <row r="82" spans="1:6" x14ac:dyDescent="0.2">
      <c r="A82" s="31" t="s">
        <v>526</v>
      </c>
      <c r="B82" s="31" t="s">
        <v>527</v>
      </c>
      <c r="C82" s="31" t="s">
        <v>40</v>
      </c>
      <c r="D82" s="31" t="s">
        <v>0</v>
      </c>
      <c r="E82" s="31" t="s">
        <v>424</v>
      </c>
    </row>
    <row r="83" spans="1:6" x14ac:dyDescent="0.2">
      <c r="A83" s="31" t="s">
        <v>539</v>
      </c>
      <c r="B83" s="31" t="s">
        <v>394</v>
      </c>
      <c r="C83" s="31" t="s">
        <v>40</v>
      </c>
      <c r="D83" s="31" t="s">
        <v>0</v>
      </c>
      <c r="E83" s="31" t="s">
        <v>424</v>
      </c>
    </row>
    <row r="84" spans="1:6" x14ac:dyDescent="0.2">
      <c r="A84" s="31" t="s">
        <v>542</v>
      </c>
      <c r="B84" s="31" t="s">
        <v>494</v>
      </c>
      <c r="C84" s="31" t="s">
        <v>40</v>
      </c>
      <c r="D84" s="31" t="s">
        <v>481</v>
      </c>
      <c r="F84" s="31" t="s">
        <v>424</v>
      </c>
    </row>
    <row r="85" spans="1:6" x14ac:dyDescent="0.2">
      <c r="A85" s="31" t="s">
        <v>543</v>
      </c>
      <c r="B85" s="31" t="s">
        <v>392</v>
      </c>
      <c r="C85" s="31" t="s">
        <v>40</v>
      </c>
      <c r="D85" s="31" t="s">
        <v>0</v>
      </c>
      <c r="E85" s="31" t="s">
        <v>424</v>
      </c>
    </row>
    <row r="86" spans="1:6" x14ac:dyDescent="0.2">
      <c r="A86" s="31" t="s">
        <v>553</v>
      </c>
      <c r="B86" s="31" t="s">
        <v>400</v>
      </c>
      <c r="C86" s="31" t="s">
        <v>40</v>
      </c>
      <c r="D86" s="31" t="s">
        <v>481</v>
      </c>
      <c r="F86" s="31" t="s">
        <v>424</v>
      </c>
    </row>
    <row r="87" spans="1:6" x14ac:dyDescent="0.2">
      <c r="A87" s="31" t="s">
        <v>555</v>
      </c>
      <c r="B87" s="31" t="s">
        <v>556</v>
      </c>
      <c r="C87" s="31" t="s">
        <v>40</v>
      </c>
      <c r="D87" s="31" t="s">
        <v>0</v>
      </c>
      <c r="E87" s="31" t="s">
        <v>424</v>
      </c>
    </row>
    <row r="88" spans="1:6" x14ac:dyDescent="0.2">
      <c r="A88" s="31" t="s">
        <v>557</v>
      </c>
      <c r="B88" s="31" t="s">
        <v>392</v>
      </c>
      <c r="C88" s="31" t="s">
        <v>40</v>
      </c>
      <c r="D88" s="31" t="s">
        <v>0</v>
      </c>
      <c r="E88" s="31" t="s">
        <v>424</v>
      </c>
    </row>
    <row r="89" spans="1:6" x14ac:dyDescent="0.2">
      <c r="A89" s="31" t="s">
        <v>562</v>
      </c>
      <c r="B89" s="31" t="s">
        <v>390</v>
      </c>
      <c r="C89" s="31" t="s">
        <v>40</v>
      </c>
      <c r="D89" s="31" t="s">
        <v>0</v>
      </c>
      <c r="E89" s="31" t="s">
        <v>424</v>
      </c>
    </row>
    <row r="90" spans="1:6" x14ac:dyDescent="0.2">
      <c r="A90" s="31" t="s">
        <v>580</v>
      </c>
      <c r="B90" s="31" t="s">
        <v>394</v>
      </c>
      <c r="C90" s="31" t="s">
        <v>40</v>
      </c>
      <c r="D90" s="31" t="s">
        <v>0</v>
      </c>
      <c r="E90" s="31" t="s">
        <v>424</v>
      </c>
    </row>
    <row r="91" spans="1:6" x14ac:dyDescent="0.2">
      <c r="A91" s="31" t="s">
        <v>590</v>
      </c>
      <c r="B91" s="31" t="s">
        <v>395</v>
      </c>
      <c r="C91" s="31" t="s">
        <v>40</v>
      </c>
      <c r="D91" s="31" t="s">
        <v>0</v>
      </c>
      <c r="E91" s="31" t="s">
        <v>424</v>
      </c>
    </row>
    <row r="92" spans="1:6" x14ac:dyDescent="0.2">
      <c r="A92" s="31" t="s">
        <v>595</v>
      </c>
      <c r="B92" s="31" t="s">
        <v>392</v>
      </c>
      <c r="C92" s="31" t="s">
        <v>40</v>
      </c>
      <c r="D92" s="31" t="s">
        <v>0</v>
      </c>
      <c r="E92" s="31" t="s">
        <v>424</v>
      </c>
    </row>
    <row r="93" spans="1:6" x14ac:dyDescent="0.2">
      <c r="A93" s="31" t="s">
        <v>600</v>
      </c>
      <c r="B93" s="31" t="s">
        <v>601</v>
      </c>
      <c r="C93" s="31" t="s">
        <v>40</v>
      </c>
      <c r="D93" s="31" t="s">
        <v>0</v>
      </c>
      <c r="E93" s="31" t="s">
        <v>424</v>
      </c>
    </row>
    <row r="94" spans="1:6" x14ac:dyDescent="0.2">
      <c r="A94" s="31" t="s">
        <v>608</v>
      </c>
      <c r="B94" s="31" t="s">
        <v>390</v>
      </c>
      <c r="C94" s="31" t="s">
        <v>40</v>
      </c>
      <c r="D94" s="31" t="s">
        <v>0</v>
      </c>
      <c r="E94" s="31" t="s">
        <v>424</v>
      </c>
    </row>
    <row r="95" spans="1:6" x14ac:dyDescent="0.2">
      <c r="A95" s="31" t="s">
        <v>613</v>
      </c>
      <c r="B95" s="31" t="s">
        <v>601</v>
      </c>
      <c r="C95" s="31" t="s">
        <v>40</v>
      </c>
      <c r="D95" s="31" t="s">
        <v>0</v>
      </c>
      <c r="E95" s="31" t="s">
        <v>424</v>
      </c>
    </row>
    <row r="96" spans="1:6" x14ac:dyDescent="0.2">
      <c r="A96" s="31" t="s">
        <v>617</v>
      </c>
      <c r="B96" s="31" t="s">
        <v>618</v>
      </c>
      <c r="C96" s="31" t="s">
        <v>40</v>
      </c>
      <c r="D96" s="31" t="s">
        <v>0</v>
      </c>
      <c r="E96" s="31" t="s">
        <v>424</v>
      </c>
    </row>
    <row r="97" spans="1:6" x14ac:dyDescent="0.2">
      <c r="A97" s="31" t="s">
        <v>619</v>
      </c>
      <c r="B97" s="31" t="s">
        <v>390</v>
      </c>
      <c r="C97" s="31" t="s">
        <v>40</v>
      </c>
      <c r="D97" s="31" t="s">
        <v>0</v>
      </c>
      <c r="E97" s="31" t="s">
        <v>424</v>
      </c>
    </row>
    <row r="98" spans="1:6" x14ac:dyDescent="0.2">
      <c r="A98" s="31" t="s">
        <v>625</v>
      </c>
      <c r="B98" s="31" t="s">
        <v>391</v>
      </c>
      <c r="C98" s="31" t="s">
        <v>40</v>
      </c>
      <c r="D98" s="31" t="s">
        <v>0</v>
      </c>
      <c r="E98" s="31" t="s">
        <v>424</v>
      </c>
    </row>
    <row r="99" spans="1:6" x14ac:dyDescent="0.2">
      <c r="A99" s="31" t="s">
        <v>501</v>
      </c>
      <c r="B99" s="31" t="s">
        <v>502</v>
      </c>
      <c r="C99" s="31" t="s">
        <v>77</v>
      </c>
      <c r="D99" s="31" t="s">
        <v>0</v>
      </c>
      <c r="E99" s="31" t="s">
        <v>424</v>
      </c>
    </row>
    <row r="100" spans="1:6" x14ac:dyDescent="0.2">
      <c r="A100" s="31" t="s">
        <v>503</v>
      </c>
      <c r="B100" s="31" t="s">
        <v>504</v>
      </c>
      <c r="C100" s="31" t="s">
        <v>77</v>
      </c>
      <c r="D100" s="31" t="s">
        <v>505</v>
      </c>
      <c r="F100" s="31" t="s">
        <v>424</v>
      </c>
    </row>
    <row r="101" spans="1:6" x14ac:dyDescent="0.2">
      <c r="A101" s="31" t="s">
        <v>506</v>
      </c>
      <c r="B101" s="31" t="s">
        <v>507</v>
      </c>
      <c r="C101" s="31" t="s">
        <v>77</v>
      </c>
      <c r="D101" s="31" t="s">
        <v>0</v>
      </c>
      <c r="E101" s="31" t="s">
        <v>424</v>
      </c>
    </row>
    <row r="102" spans="1:6" x14ac:dyDescent="0.2">
      <c r="A102" s="31" t="s">
        <v>518</v>
      </c>
      <c r="B102" s="31" t="s">
        <v>507</v>
      </c>
      <c r="C102" s="31" t="s">
        <v>77</v>
      </c>
      <c r="D102" s="31" t="s">
        <v>0</v>
      </c>
      <c r="E102" s="31" t="s">
        <v>424</v>
      </c>
    </row>
    <row r="103" spans="1:6" x14ac:dyDescent="0.2">
      <c r="A103" s="31" t="s">
        <v>528</v>
      </c>
      <c r="B103" s="31" t="s">
        <v>529</v>
      </c>
      <c r="C103" s="31" t="s">
        <v>77</v>
      </c>
      <c r="D103" s="31" t="s">
        <v>0</v>
      </c>
      <c r="E103" s="31" t="s">
        <v>424</v>
      </c>
    </row>
    <row r="104" spans="1:6" x14ac:dyDescent="0.2">
      <c r="A104" s="31" t="s">
        <v>537</v>
      </c>
      <c r="B104" s="31" t="s">
        <v>507</v>
      </c>
      <c r="C104" s="31" t="s">
        <v>77</v>
      </c>
      <c r="D104" s="31" t="s">
        <v>0</v>
      </c>
      <c r="E104" s="31" t="s">
        <v>424</v>
      </c>
    </row>
    <row r="105" spans="1:6" x14ac:dyDescent="0.2">
      <c r="A105" s="31" t="s">
        <v>558</v>
      </c>
      <c r="B105" s="31" t="s">
        <v>507</v>
      </c>
      <c r="C105" s="31" t="s">
        <v>77</v>
      </c>
      <c r="D105" s="31" t="s">
        <v>0</v>
      </c>
      <c r="E105" s="31" t="s">
        <v>424</v>
      </c>
    </row>
    <row r="106" spans="1:6" x14ac:dyDescent="0.2">
      <c r="A106" s="31" t="s">
        <v>578</v>
      </c>
      <c r="B106" s="31" t="s">
        <v>579</v>
      </c>
      <c r="C106" s="31" t="s">
        <v>77</v>
      </c>
      <c r="D106" s="31" t="s">
        <v>0</v>
      </c>
      <c r="E106" s="31" t="s">
        <v>424</v>
      </c>
    </row>
    <row r="107" spans="1:6" x14ac:dyDescent="0.2">
      <c r="A107" s="31" t="s">
        <v>519</v>
      </c>
      <c r="B107" s="31" t="s">
        <v>520</v>
      </c>
      <c r="C107" s="31" t="s">
        <v>42</v>
      </c>
      <c r="D107" s="31" t="s">
        <v>521</v>
      </c>
      <c r="F107" s="31" t="s">
        <v>424</v>
      </c>
    </row>
    <row r="108" spans="1:6" x14ac:dyDescent="0.2">
      <c r="A108" s="31" t="s">
        <v>548</v>
      </c>
      <c r="B108" s="31" t="s">
        <v>549</v>
      </c>
      <c r="C108" s="31" t="s">
        <v>42</v>
      </c>
      <c r="D108" s="31" t="s">
        <v>481</v>
      </c>
      <c r="F108" s="31" t="s">
        <v>424</v>
      </c>
    </row>
    <row r="109" spans="1:6" x14ac:dyDescent="0.2">
      <c r="A109" s="31" t="s">
        <v>563</v>
      </c>
      <c r="B109" s="31" t="s">
        <v>564</v>
      </c>
      <c r="C109" s="31" t="s">
        <v>42</v>
      </c>
      <c r="D109" s="31" t="s">
        <v>565</v>
      </c>
      <c r="F109" s="31" t="s">
        <v>424</v>
      </c>
    </row>
    <row r="110" spans="1:6" x14ac:dyDescent="0.2">
      <c r="C110" s="31" t="s">
        <v>60</v>
      </c>
      <c r="E110" s="132"/>
      <c r="F110" s="132"/>
    </row>
    <row r="111" spans="1:6" x14ac:dyDescent="0.2">
      <c r="A111" s="31" t="s">
        <v>495</v>
      </c>
      <c r="B111" s="31" t="s">
        <v>496</v>
      </c>
      <c r="C111" s="31" t="s">
        <v>427</v>
      </c>
      <c r="D111" s="31" t="s">
        <v>497</v>
      </c>
      <c r="F111" s="31" t="s">
        <v>424</v>
      </c>
    </row>
    <row r="112" spans="1:6" x14ac:dyDescent="0.2">
      <c r="A112" s="31" t="s">
        <v>609</v>
      </c>
      <c r="B112" s="31" t="s">
        <v>496</v>
      </c>
      <c r="C112" s="31" t="s">
        <v>427</v>
      </c>
      <c r="D112" s="31" t="s">
        <v>0</v>
      </c>
      <c r="E112" s="31" t="s">
        <v>424</v>
      </c>
    </row>
    <row r="113" spans="1:5" x14ac:dyDescent="0.2">
      <c r="C113" s="31" t="s">
        <v>69</v>
      </c>
    </row>
    <row r="114" spans="1:5" x14ac:dyDescent="0.2">
      <c r="A114" s="31" t="s">
        <v>453</v>
      </c>
      <c r="B114" s="31" t="s">
        <v>454</v>
      </c>
      <c r="C114" s="31" t="s">
        <v>425</v>
      </c>
      <c r="D114" s="31" t="s">
        <v>0</v>
      </c>
      <c r="E114" s="31" t="s">
        <v>424</v>
      </c>
    </row>
    <row r="115" spans="1:5" x14ac:dyDescent="0.2">
      <c r="A115" s="31" t="s">
        <v>492</v>
      </c>
      <c r="B115" s="31" t="s">
        <v>388</v>
      </c>
      <c r="C115" s="31" t="s">
        <v>425</v>
      </c>
      <c r="D115" s="31" t="s">
        <v>0</v>
      </c>
      <c r="E115" s="31" t="s">
        <v>424</v>
      </c>
    </row>
    <row r="116" spans="1:5" x14ac:dyDescent="0.2">
      <c r="A116" s="31" t="s">
        <v>532</v>
      </c>
      <c r="B116" s="31" t="s">
        <v>533</v>
      </c>
      <c r="C116" s="31" t="s">
        <v>425</v>
      </c>
      <c r="D116" s="31" t="s">
        <v>0</v>
      </c>
      <c r="E116" s="31" t="s">
        <v>424</v>
      </c>
    </row>
    <row r="117" spans="1:5" x14ac:dyDescent="0.2">
      <c r="A117" s="31" t="s">
        <v>559</v>
      </c>
      <c r="B117" s="31" t="s">
        <v>560</v>
      </c>
      <c r="C117" s="31" t="s">
        <v>425</v>
      </c>
      <c r="D117" s="31" t="s">
        <v>0</v>
      </c>
      <c r="E117" s="31" t="s">
        <v>424</v>
      </c>
    </row>
    <row r="118" spans="1:5" x14ac:dyDescent="0.2">
      <c r="A118" s="31" t="s">
        <v>568</v>
      </c>
      <c r="B118" s="31" t="s">
        <v>569</v>
      </c>
      <c r="C118" s="31" t="s">
        <v>425</v>
      </c>
      <c r="D118" s="31" t="s">
        <v>0</v>
      </c>
      <c r="E118" s="31" t="s">
        <v>424</v>
      </c>
    </row>
    <row r="119" spans="1:5" x14ac:dyDescent="0.2">
      <c r="A119" s="31" t="s">
        <v>571</v>
      </c>
      <c r="B119" s="31" t="s">
        <v>454</v>
      </c>
      <c r="C119" s="31" t="s">
        <v>425</v>
      </c>
      <c r="D119" s="31" t="s">
        <v>0</v>
      </c>
      <c r="E119" s="31" t="s">
        <v>424</v>
      </c>
    </row>
    <row r="120" spans="1:5" x14ac:dyDescent="0.2">
      <c r="A120" s="31" t="s">
        <v>588</v>
      </c>
      <c r="B120" s="31" t="s">
        <v>589</v>
      </c>
      <c r="C120" s="31" t="s">
        <v>425</v>
      </c>
      <c r="D120" s="31" t="s">
        <v>0</v>
      </c>
      <c r="E120" s="31" t="s">
        <v>424</v>
      </c>
    </row>
    <row r="121" spans="1:5" x14ac:dyDescent="0.2">
      <c r="A121" s="31" t="s">
        <v>622</v>
      </c>
      <c r="B121" s="31" t="s">
        <v>533</v>
      </c>
      <c r="C121" s="31" t="s">
        <v>425</v>
      </c>
      <c r="D121" s="31" t="s">
        <v>0</v>
      </c>
      <c r="E121" s="31" t="s">
        <v>424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80"/>
  <sheetViews>
    <sheetView workbookViewId="0">
      <selection activeCell="A2" sqref="A2"/>
    </sheetView>
  </sheetViews>
  <sheetFormatPr defaultRowHeight="12.75" x14ac:dyDescent="0.2"/>
  <cols>
    <col min="1" max="1" width="22.5703125" bestFit="1" customWidth="1"/>
  </cols>
  <sheetData>
    <row r="1" spans="1:1" x14ac:dyDescent="0.2">
      <c r="A1" s="3" t="s">
        <v>127</v>
      </c>
    </row>
    <row r="2" spans="1:1" x14ac:dyDescent="0.2">
      <c r="A2" t="s">
        <v>390</v>
      </c>
    </row>
    <row r="3" spans="1:1" x14ac:dyDescent="0.2">
      <c r="A3" t="s">
        <v>391</v>
      </c>
    </row>
    <row r="4" spans="1:1" x14ac:dyDescent="0.2">
      <c r="A4" t="s">
        <v>391</v>
      </c>
    </row>
    <row r="5" spans="1:1" x14ac:dyDescent="0.2">
      <c r="A5" t="s">
        <v>392</v>
      </c>
    </row>
    <row r="6" spans="1:1" x14ac:dyDescent="0.2">
      <c r="A6" t="s">
        <v>393</v>
      </c>
    </row>
    <row r="7" spans="1:1" x14ac:dyDescent="0.2">
      <c r="A7" t="s">
        <v>394</v>
      </c>
    </row>
    <row r="8" spans="1:1" x14ac:dyDescent="0.2">
      <c r="A8" t="s">
        <v>392</v>
      </c>
    </row>
    <row r="9" spans="1:1" x14ac:dyDescent="0.2">
      <c r="A9" t="s">
        <v>393</v>
      </c>
    </row>
    <row r="10" spans="1:1" x14ac:dyDescent="0.2">
      <c r="A10" t="s">
        <v>394</v>
      </c>
    </row>
    <row r="11" spans="1:1" x14ac:dyDescent="0.2">
      <c r="A11" t="s">
        <v>390</v>
      </c>
    </row>
    <row r="12" spans="1:1" x14ac:dyDescent="0.2">
      <c r="A12" t="s">
        <v>391</v>
      </c>
    </row>
    <row r="13" spans="1:1" x14ac:dyDescent="0.2">
      <c r="A13" t="s">
        <v>395</v>
      </c>
    </row>
    <row r="14" spans="1:1" x14ac:dyDescent="0.2">
      <c r="A14" t="s">
        <v>394</v>
      </c>
    </row>
    <row r="15" spans="1:1" x14ac:dyDescent="0.2">
      <c r="A15" t="s">
        <v>392</v>
      </c>
    </row>
    <row r="16" spans="1:1" x14ac:dyDescent="0.2">
      <c r="A16" t="s">
        <v>393</v>
      </c>
    </row>
    <row r="17" spans="1:1" x14ac:dyDescent="0.2">
      <c r="A17" t="s">
        <v>394</v>
      </c>
    </row>
    <row r="18" spans="1:1" x14ac:dyDescent="0.2">
      <c r="A18" t="s">
        <v>396</v>
      </c>
    </row>
    <row r="19" spans="1:1" x14ac:dyDescent="0.2">
      <c r="A19" t="s">
        <v>397</v>
      </c>
    </row>
    <row r="20" spans="1:1" x14ac:dyDescent="0.2">
      <c r="A20" t="s">
        <v>398</v>
      </c>
    </row>
    <row r="21" spans="1:1" x14ac:dyDescent="0.2">
      <c r="A21" t="s">
        <v>391</v>
      </c>
    </row>
    <row r="22" spans="1:1" x14ac:dyDescent="0.2">
      <c r="A22" t="s">
        <v>391</v>
      </c>
    </row>
    <row r="23" spans="1:1" x14ac:dyDescent="0.2">
      <c r="A23" t="s">
        <v>398</v>
      </c>
    </row>
    <row r="24" spans="1:1" x14ac:dyDescent="0.2">
      <c r="A24" t="s">
        <v>390</v>
      </c>
    </row>
    <row r="25" spans="1:1" x14ac:dyDescent="0.2">
      <c r="A25" t="s">
        <v>399</v>
      </c>
    </row>
    <row r="26" spans="1:1" x14ac:dyDescent="0.2">
      <c r="A26" t="s">
        <v>400</v>
      </c>
    </row>
    <row r="27" spans="1:1" x14ac:dyDescent="0.2">
      <c r="A27" t="s">
        <v>399</v>
      </c>
    </row>
    <row r="28" spans="1:1" x14ac:dyDescent="0.2">
      <c r="A28" t="s">
        <v>401</v>
      </c>
    </row>
    <row r="29" spans="1:1" x14ac:dyDescent="0.2">
      <c r="A29" t="s">
        <v>402</v>
      </c>
    </row>
    <row r="30" spans="1:1" x14ac:dyDescent="0.2">
      <c r="A30" t="s">
        <v>403</v>
      </c>
    </row>
    <row r="31" spans="1:1" x14ac:dyDescent="0.2">
      <c r="A31" t="s">
        <v>403</v>
      </c>
    </row>
    <row r="32" spans="1:1" x14ac:dyDescent="0.2">
      <c r="A32" t="s">
        <v>402</v>
      </c>
    </row>
    <row r="33" spans="1:1" x14ac:dyDescent="0.2">
      <c r="A33" t="s">
        <v>402</v>
      </c>
    </row>
    <row r="34" spans="1:1" x14ac:dyDescent="0.2">
      <c r="A34" t="s">
        <v>404</v>
      </c>
    </row>
    <row r="35" spans="1:1" x14ac:dyDescent="0.2">
      <c r="A35" t="s">
        <v>405</v>
      </c>
    </row>
    <row r="36" spans="1:1" x14ac:dyDescent="0.2">
      <c r="A36" t="s">
        <v>406</v>
      </c>
    </row>
    <row r="37" spans="1:1" x14ac:dyDescent="0.2">
      <c r="A37" t="s">
        <v>406</v>
      </c>
    </row>
    <row r="38" spans="1:1" x14ac:dyDescent="0.2">
      <c r="A38" t="s">
        <v>403</v>
      </c>
    </row>
    <row r="39" spans="1:1" x14ac:dyDescent="0.2">
      <c r="A39" t="s">
        <v>407</v>
      </c>
    </row>
    <row r="40" spans="1:1" x14ac:dyDescent="0.2">
      <c r="A40" t="s">
        <v>402</v>
      </c>
    </row>
    <row r="41" spans="1:1" x14ac:dyDescent="0.2">
      <c r="A41" t="s">
        <v>405</v>
      </c>
    </row>
    <row r="42" spans="1:1" x14ac:dyDescent="0.2">
      <c r="A42" t="s">
        <v>405</v>
      </c>
    </row>
    <row r="43" spans="1:1" x14ac:dyDescent="0.2">
      <c r="A43" t="s">
        <v>405</v>
      </c>
    </row>
    <row r="44" spans="1:1" x14ac:dyDescent="0.2">
      <c r="A44" t="s">
        <v>406</v>
      </c>
    </row>
    <row r="45" spans="1:1" x14ac:dyDescent="0.2">
      <c r="A45" t="s">
        <v>402</v>
      </c>
    </row>
    <row r="46" spans="1:1" x14ac:dyDescent="0.2">
      <c r="A46" t="s">
        <v>405</v>
      </c>
    </row>
    <row r="47" spans="1:1" x14ac:dyDescent="0.2">
      <c r="A47" t="s">
        <v>403</v>
      </c>
    </row>
    <row r="48" spans="1:1" x14ac:dyDescent="0.2">
      <c r="A48" t="s">
        <v>406</v>
      </c>
    </row>
    <row r="49" spans="1:1" x14ac:dyDescent="0.2">
      <c r="A49" t="s">
        <v>403</v>
      </c>
    </row>
    <row r="50" spans="1:1" x14ac:dyDescent="0.2">
      <c r="A50" t="s">
        <v>407</v>
      </c>
    </row>
    <row r="51" spans="1:1" x14ac:dyDescent="0.2">
      <c r="A51" t="s">
        <v>406</v>
      </c>
    </row>
    <row r="52" spans="1:1" x14ac:dyDescent="0.2">
      <c r="A52" t="s">
        <v>407</v>
      </c>
    </row>
    <row r="53" spans="1:1" x14ac:dyDescent="0.2">
      <c r="A53" t="s">
        <v>408</v>
      </c>
    </row>
    <row r="54" spans="1:1" x14ac:dyDescent="0.2">
      <c r="A54" t="s">
        <v>403</v>
      </c>
    </row>
    <row r="55" spans="1:1" x14ac:dyDescent="0.2">
      <c r="A55" t="s">
        <v>409</v>
      </c>
    </row>
    <row r="56" spans="1:1" x14ac:dyDescent="0.2">
      <c r="A56" t="s">
        <v>410</v>
      </c>
    </row>
    <row r="57" spans="1:1" x14ac:dyDescent="0.2">
      <c r="A57" t="s">
        <v>411</v>
      </c>
    </row>
    <row r="58" spans="1:1" x14ac:dyDescent="0.2">
      <c r="A58" t="s">
        <v>410</v>
      </c>
    </row>
    <row r="59" spans="1:1" x14ac:dyDescent="0.2">
      <c r="A59" t="s">
        <v>412</v>
      </c>
    </row>
    <row r="60" spans="1:1" x14ac:dyDescent="0.2">
      <c r="A60" t="s">
        <v>413</v>
      </c>
    </row>
    <row r="61" spans="1:1" x14ac:dyDescent="0.2">
      <c r="A61" t="s">
        <v>413</v>
      </c>
    </row>
    <row r="62" spans="1:1" x14ac:dyDescent="0.2">
      <c r="A62" t="s">
        <v>414</v>
      </c>
    </row>
    <row r="63" spans="1:1" x14ac:dyDescent="0.2">
      <c r="A63" t="s">
        <v>415</v>
      </c>
    </row>
    <row r="64" spans="1:1" x14ac:dyDescent="0.2">
      <c r="A64" t="s">
        <v>412</v>
      </c>
    </row>
    <row r="65" spans="1:1" x14ac:dyDescent="0.2">
      <c r="A65" t="s">
        <v>412</v>
      </c>
    </row>
    <row r="66" spans="1:1" x14ac:dyDescent="0.2">
      <c r="A66" t="s">
        <v>416</v>
      </c>
    </row>
    <row r="67" spans="1:1" x14ac:dyDescent="0.2">
      <c r="A67" t="s">
        <v>417</v>
      </c>
    </row>
    <row r="68" spans="1:1" x14ac:dyDescent="0.2">
      <c r="A68" t="s">
        <v>418</v>
      </c>
    </row>
    <row r="69" spans="1:1" x14ac:dyDescent="0.2">
      <c r="A69" t="s">
        <v>418</v>
      </c>
    </row>
    <row r="70" spans="1:1" x14ac:dyDescent="0.2">
      <c r="A70" t="s">
        <v>417</v>
      </c>
    </row>
    <row r="71" spans="1:1" x14ac:dyDescent="0.2">
      <c r="A71" t="s">
        <v>419</v>
      </c>
    </row>
    <row r="72" spans="1:1" x14ac:dyDescent="0.2">
      <c r="A72" t="s">
        <v>414</v>
      </c>
    </row>
    <row r="73" spans="1:1" x14ac:dyDescent="0.2">
      <c r="A73" t="s">
        <v>420</v>
      </c>
    </row>
    <row r="74" spans="1:1" x14ac:dyDescent="0.2">
      <c r="A74" t="s">
        <v>413</v>
      </c>
    </row>
    <row r="75" spans="1:1" x14ac:dyDescent="0.2">
      <c r="A75" t="s">
        <v>417</v>
      </c>
    </row>
    <row r="76" spans="1:1" x14ac:dyDescent="0.2">
      <c r="A76" t="s">
        <v>421</v>
      </c>
    </row>
    <row r="77" spans="1:1" x14ac:dyDescent="0.2">
      <c r="A77" t="s">
        <v>388</v>
      </c>
    </row>
    <row r="78" spans="1:1" x14ac:dyDescent="0.2">
      <c r="A78" t="s">
        <v>389</v>
      </c>
    </row>
    <row r="79" spans="1:1" x14ac:dyDescent="0.2">
      <c r="A79" t="s">
        <v>422</v>
      </c>
    </row>
    <row r="80" spans="1:1" x14ac:dyDescent="0.2">
      <c r="A80" t="s">
        <v>423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I9:N31"/>
  <sheetViews>
    <sheetView showGridLines="0" tabSelected="1" workbookViewId="0">
      <selection activeCell="F32" sqref="F32"/>
    </sheetView>
  </sheetViews>
  <sheetFormatPr defaultRowHeight="12.75" x14ac:dyDescent="0.2"/>
  <sheetData>
    <row r="9" spans="9:10" x14ac:dyDescent="0.2">
      <c r="I9" s="76"/>
      <c r="J9" s="76"/>
    </row>
    <row r="31" spans="14:14" x14ac:dyDescent="0.2">
      <c r="N31" s="76" t="s">
        <v>387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_EnterdataForm">
                <anchor moveWithCells="1" sizeWithCells="1">
                  <from>
                    <xdr:col>3</xdr:col>
                    <xdr:colOff>152400</xdr:colOff>
                    <xdr:row>2</xdr:row>
                    <xdr:rowOff>9525</xdr:rowOff>
                  </from>
                  <to>
                    <xdr:col>5</xdr:col>
                    <xdr:colOff>314325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95791BE4A3FB47AE8F0EA9DBDF4B7F" ma:contentTypeVersion="0" ma:contentTypeDescription="Create a new document." ma:contentTypeScope="" ma:versionID="7d4687013cc172859d3fd02af46cae0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D76440-68AC-411D-A2DE-C0E5A5969CEE}">
  <ds:schemaRefs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http://purl.org/dc/dcmitype/"/>
    <ds:schemaRef ds:uri="http://purl.org/dc/terms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F8F3F3B-3516-4D22-83EC-FB73D1198C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BC5AA5D-08C6-411F-89B0-5FF777AADE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Incident Management Framework</vt:lpstr>
      <vt:lpstr>Inc Upgrade Downgrade Acc</vt:lpstr>
      <vt:lpstr>Unix Server Support</vt:lpstr>
      <vt:lpstr>Information Security Support</vt:lpstr>
      <vt:lpstr>Enterprise Messaging</vt:lpstr>
      <vt:lpstr>Wintel Server Support</vt:lpstr>
      <vt:lpstr>Monitoring</vt:lpstr>
      <vt:lpstr>Network Device Support</vt:lpstr>
      <vt:lpstr>Storage &amp; BackUp</vt:lpstr>
      <vt:lpstr>Database Administration Server</vt:lpstr>
      <vt:lpstr>Service Desk</vt:lpstr>
      <vt:lpstr>Dashboard</vt:lpstr>
      <vt:lpstr>Observation</vt:lpstr>
      <vt:lpstr>EngineersPool</vt:lpstr>
      <vt:lpstr>DataEntry</vt:lpstr>
      <vt:lpstr>'Inc Upgrade Downgrade Acc'!Print_Titles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 Decisions</dc:creator>
  <dc:description>Powered by Crystal</dc:description>
  <cp:lastModifiedBy>ACER PC</cp:lastModifiedBy>
  <dcterms:created xsi:type="dcterms:W3CDTF">2015-02-20T02:37:59Z</dcterms:created>
  <dcterms:modified xsi:type="dcterms:W3CDTF">2017-06-07T07:08:54Z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  <property fmtid="{D5CDD505-2E9C-101B-9397-08002B2CF9AE}" pid="3" name="ContentTypeId">
    <vt:lpwstr>0x0101005795791BE4A3FB47AE8F0EA9DBDF4B7F</vt:lpwstr>
  </property>
</Properties>
</file>